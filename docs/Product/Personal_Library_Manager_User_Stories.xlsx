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PersonalLibraryManager Project\docs\Product\"/>
    </mc:Choice>
  </mc:AlternateContent>
  <xr:revisionPtr revIDLastSave="0" documentId="13_ncr:1_{2ED5332D-4456-4DE7-96F1-94E38B221D0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User Stories" sheetId="1" r:id="rId1"/>
    <sheet name="Overview" sheetId="2" r:id="rId2"/>
    <sheet name="Epics" sheetId="3" r:id="rId3"/>
    <sheet name="Tasks" sheetId="4" r:id="rId4"/>
  </sheets>
  <calcPr calcId="191029"/>
</workbook>
</file>

<file path=xl/calcChain.xml><?xml version="1.0" encoding="utf-8"?>
<calcChain xmlns="http://schemas.openxmlformats.org/spreadsheetml/2006/main">
  <c r="K13" i="3" l="1"/>
  <c r="J13" i="3"/>
  <c r="I13" i="3"/>
  <c r="H13" i="3"/>
  <c r="G13" i="3"/>
  <c r="K12" i="3"/>
  <c r="J12" i="3"/>
  <c r="I12" i="3"/>
  <c r="H12" i="3"/>
  <c r="G12" i="3"/>
  <c r="K11" i="3"/>
  <c r="J11" i="3"/>
  <c r="I11" i="3"/>
  <c r="H11" i="3"/>
  <c r="G11" i="3"/>
  <c r="K10" i="3"/>
  <c r="J10" i="3"/>
  <c r="I10" i="3"/>
  <c r="H10" i="3"/>
  <c r="G10" i="3"/>
  <c r="K9" i="3"/>
  <c r="J9" i="3"/>
  <c r="I9" i="3"/>
  <c r="H9" i="3"/>
  <c r="G9" i="3"/>
  <c r="K8" i="3"/>
  <c r="J8" i="3"/>
  <c r="I8" i="3"/>
  <c r="H8" i="3"/>
  <c r="G8" i="3"/>
  <c r="K7" i="3"/>
  <c r="J7" i="3"/>
  <c r="I7" i="3"/>
  <c r="H7" i="3"/>
  <c r="G7" i="3"/>
  <c r="K6" i="3"/>
  <c r="J6" i="3"/>
  <c r="I6" i="3"/>
  <c r="H6" i="3"/>
  <c r="G6" i="3"/>
  <c r="K5" i="3"/>
  <c r="J5" i="3"/>
  <c r="I5" i="3"/>
  <c r="H5" i="3"/>
  <c r="G5" i="3"/>
  <c r="K4" i="3"/>
  <c r="J4" i="3"/>
  <c r="I4" i="3"/>
  <c r="H4" i="3"/>
  <c r="G4" i="3"/>
  <c r="K3" i="3"/>
  <c r="J3" i="3"/>
  <c r="I3" i="3"/>
  <c r="H3" i="3"/>
  <c r="G3" i="3"/>
  <c r="K2" i="3"/>
  <c r="J2" i="3"/>
  <c r="I2" i="3"/>
  <c r="H2" i="3"/>
  <c r="G2" i="3"/>
  <c r="B19" i="2"/>
  <c r="B18" i="2"/>
  <c r="B17" i="2"/>
  <c r="B16" i="2"/>
  <c r="B15" i="2"/>
  <c r="B14" i="2"/>
  <c r="B13" i="2"/>
  <c r="B12" i="2"/>
  <c r="B11" i="2"/>
  <c r="B9" i="2"/>
  <c r="B8" i="2"/>
  <c r="B7" i="2"/>
  <c r="B6" i="2"/>
  <c r="B5" i="2"/>
  <c r="B4" i="2"/>
  <c r="L10" i="3" l="1"/>
  <c r="L5" i="3"/>
  <c r="L11" i="3"/>
  <c r="L13" i="3"/>
  <c r="L12" i="3"/>
  <c r="L4" i="3"/>
  <c r="L3" i="3"/>
  <c r="L6" i="3"/>
  <c r="L2" i="3"/>
  <c r="L9" i="3"/>
  <c r="L8" i="3"/>
  <c r="L7" i="3"/>
</calcChain>
</file>

<file path=xl/sharedStrings.xml><?xml version="1.0" encoding="utf-8"?>
<sst xmlns="http://schemas.openxmlformats.org/spreadsheetml/2006/main" count="4218" uniqueCount="1544">
  <si>
    <t>Story</t>
  </si>
  <si>
    <t>Module</t>
  </si>
  <si>
    <t>Role</t>
  </si>
  <si>
    <t>As a...</t>
  </si>
  <si>
    <t>I want to...</t>
  </si>
  <si>
    <t>So that...</t>
  </si>
  <si>
    <t>Acceptance Criteria</t>
  </si>
  <si>
    <t>Priority</t>
  </si>
  <si>
    <t>Milestone</t>
  </si>
  <si>
    <t>Comments</t>
  </si>
  <si>
    <t>Status</t>
  </si>
  <si>
    <t>PERSONAL LIBRARY MANAGER | USER STORY BACKLOG</t>
  </si>
  <si>
    <t>Metric</t>
  </si>
  <si>
    <t>Value</t>
  </si>
  <si>
    <t>Total stories</t>
  </si>
  <si>
    <t>Must Have</t>
  </si>
  <si>
    <t>Should Have</t>
  </si>
  <si>
    <t>Could Have</t>
  </si>
  <si>
    <t>Completed</t>
  </si>
  <si>
    <t>In progress</t>
  </si>
  <si>
    <t>Stories</t>
  </si>
  <si>
    <t>Focus</t>
  </si>
  <si>
    <t>Phase</t>
  </si>
  <si>
    <t>M0 — Foundation</t>
  </si>
  <si>
    <t>Identity &amp; authentication</t>
  </si>
  <si>
    <t>MVP</t>
  </si>
  <si>
    <t>M1 — Core Library</t>
  </si>
  <si>
    <t>Libraries, catalogue, manual add</t>
  </si>
  <si>
    <t>M2 — Smart ISBN</t>
  </si>
  <si>
    <t>Lookup, metadata, duplicate detection</t>
  </si>
  <si>
    <t>M3 — Mobile MVP</t>
  </si>
  <si>
    <t>MAUI screens and scan workflow</t>
  </si>
  <si>
    <t>M4 — Organization</t>
  </si>
  <si>
    <t>Search, status, locations, edits</t>
  </si>
  <si>
    <t>Later</t>
  </si>
  <si>
    <t>M5 — Bulk Import</t>
  </si>
  <si>
    <t>Batch scanning and import</t>
  </si>
  <si>
    <t>M6 — Production</t>
  </si>
  <si>
    <t>Reliability, tests, deployment</t>
  </si>
  <si>
    <t>M7 — Social</t>
  </si>
  <si>
    <t>Shared libraries, loans, wishlist</t>
  </si>
  <si>
    <t>Future</t>
  </si>
  <si>
    <t>OCR, offline, notifications</t>
  </si>
  <si>
    <t>Notes</t>
  </si>
  <si>
    <t>US-001</t>
  </si>
  <si>
    <t>Account</t>
  </si>
  <si>
    <t>User</t>
  </si>
  <si>
    <t>New user</t>
  </si>
  <si>
    <t>register with my email and password</t>
  </si>
  <si>
    <t>I can create a personal account</t>
  </si>
  <si>
    <t>• Valid details create a user account
• Duplicate email and invalid inputs are rejected
• Password is stored securely</t>
  </si>
  <si>
    <t>Implemented by registration validation, ASP.NET Core Identity and confirmation-email dispatch.</t>
  </si>
  <si>
    <t>In Progress</t>
  </si>
  <si>
    <t>US-002</t>
  </si>
  <si>
    <t>Registered user</t>
  </si>
  <si>
    <t>confirm my email address</t>
  </si>
  <si>
    <t>my account email is verified</t>
  </si>
  <si>
    <t>• Confirmation token is validated
• Valid token confirms the email
• Invalid or expired token returns a clear error</t>
  </si>
  <si>
    <t>Implemented by GET /api/auth/confirm-email and Identity email tokens.</t>
  </si>
  <si>
    <t>US-003</t>
  </si>
  <si>
    <t>log in to my account</t>
  </si>
  <si>
    <t>I can access my libraries securely</t>
  </si>
  <si>
    <t>• Valid credentials return authentication tokens
• Invalid credentials do not authenticate
• Protected endpoints require authentication</t>
  </si>
  <si>
    <t>Implemented by POST /api/auth/login, JWT issuance and protected controllers.</t>
  </si>
  <si>
    <t>US-004</t>
  </si>
  <si>
    <t>Authenticated user</t>
  </si>
  <si>
    <t>refresh an expired access token</t>
  </si>
  <si>
    <t>I can continue using the app without repeatedly logging in</t>
  </si>
  <si>
    <t>• Valid refresh token issues new authentication tokens
• Expired or revoked refresh token is rejected
• Refresh token rotation or revocation is enforced</t>
  </si>
  <si>
    <t>Implemented by POST /api/auth/refresh with refresh-token rotation and revocation.</t>
  </si>
  <si>
    <t>US-005</t>
  </si>
  <si>
    <t>request a new email-confirmation message</t>
  </si>
  <si>
    <t>I can finish verification when the original message is unavailable</t>
  </si>
  <si>
    <t>• An unconfirmed account receives a new confirmation challenge
• Confirmed and unknown accounts do not reveal account state
• The endpoint returns a safe, consistent response</t>
  </si>
  <si>
    <t>Implemented by POST /api/auth/resend-confirmation and AuthService.</t>
  </si>
  <si>
    <t>US-006</t>
  </si>
  <si>
    <t>log out of my current refresh-token session</t>
  </si>
  <si>
    <t>a lost token cannot keep creating access tokens</t>
  </si>
  <si>
    <t>• Logout requires an authenticated user
• The supplied refresh-token session is revoked
• A revoked refresh token cannot be used again</t>
  </si>
  <si>
    <t>Implemented by POST /api/auth/logout with refresh-session revocation.</t>
  </si>
  <si>
    <t>US-007</t>
  </si>
  <si>
    <t>API platform</t>
  </si>
  <si>
    <t>Developer</t>
  </si>
  <si>
    <t>API client developer</t>
  </si>
  <si>
    <t>receive consistent success and failure responses</t>
  </si>
  <si>
    <t>the client can handle API outcomes predictably</t>
  </si>
  <si>
    <t>• Successful responses use the common API envelope
• Validation errors include field-level details
• Authentication, authorization and not-found failures use stable codes and a trace identifier</t>
  </si>
  <si>
    <t>Implemented by ApiResponse, API behavior configuration and GlobalExceptionMiddleware.</t>
  </si>
  <si>
    <t>Done</t>
  </si>
  <si>
    <t>US-008</t>
  </si>
  <si>
    <t>Library</t>
  </si>
  <si>
    <t>Library owner</t>
  </si>
  <si>
    <t>rename my library</t>
  </si>
  <si>
    <t>I can keep library information current</t>
  </si>
  <si>
    <t>• Owner can update the library name
• Invalid names are rejected
• Unauthorized users cannot update it</t>
  </si>
  <si>
    <t>Implemented by PATCH /api/libraries/{libraryId} with owner/editor authorization.</t>
  </si>
  <si>
    <t>US-009</t>
  </si>
  <si>
    <t>create a personal library</t>
  </si>
  <si>
    <t>I can start cataloguing my own collection</t>
  </si>
  <si>
    <t>• An authenticated user can create a library with a valid name
• Private visibility is used when no visibility is supplied
• The creator is recorded as the Owner member</t>
  </si>
  <si>
    <t>Implemented by POST /api/libraries with creator ownership.</t>
  </si>
  <si>
    <t>US-010</t>
  </si>
  <si>
    <t>Library membership</t>
  </si>
  <si>
    <t>Library member</t>
  </si>
  <si>
    <t>access only libraries I am authorized to use</t>
  </si>
  <si>
    <t>other users cannot view or change my collection</t>
  </si>
  <si>
    <t>• Membership is checked on library-scoped requests
• Non-members cannot read or modify protected data
• Owner role is recorded for the creator</t>
  </si>
  <si>
    <t>Implemented by library membership checks and owner/editor/viewer enforcement.</t>
  </si>
  <si>
    <t>US-011</t>
  </si>
  <si>
    <t>Catalogue</t>
  </si>
  <si>
    <t>Catalogue editor</t>
  </si>
  <si>
    <t>create an author record</t>
  </si>
  <si>
    <t>books can be associated with their authors</t>
  </si>
  <si>
    <t>• Author name is required
• Optional biographical fields can be omitted
• Saved author is available for book association</t>
  </si>
  <si>
    <t>Implemented by POST /api/authors.</t>
  </si>
  <si>
    <t>US-012</t>
  </si>
  <si>
    <t>create a publisher record</t>
  </si>
  <si>
    <t>editions can identify their publisher</t>
  </si>
  <si>
    <t>• Publisher name is required
• Website URL is optional
• Saved publisher can be referenced by editions</t>
  </si>
  <si>
    <t>Implemented by POST /api/publishers.</t>
  </si>
  <si>
    <t>US-013</t>
  </si>
  <si>
    <t>create a book/work record</t>
  </si>
  <si>
    <t>different editions share the same underlying title</t>
  </si>
  <si>
    <t>• Title is required
• Optional original title, language, description and first publication year are supported
• Book is stored independently from its editions</t>
  </si>
  <si>
    <t>Implemented by POST /api/books with work-level metadata.</t>
  </si>
  <si>
    <t>US-014</t>
  </si>
  <si>
    <t>associate one or more authors with a book</t>
  </si>
  <si>
    <t>multi-author books are represented correctly</t>
  </si>
  <si>
    <t>• Existing authors can be linked to a book
• AuthorOrder is retained
• Duplicate book-author associations are prevented</t>
  </si>
  <si>
    <t>Implemented by ordered BookAuthor associations with duplicate validation.</t>
  </si>
  <si>
    <t>US-015</t>
  </si>
  <si>
    <t>create an edition for a book</t>
  </si>
  <si>
    <t>I can distinguish different versions of the same title</t>
  </si>
  <si>
    <t>• Edition references an existing book
• Publisher is optional
• ISBN-10, ISBN-13, language, date, pages and cover may be omitted
• Multiple editions can belong to one book</t>
  </si>
  <si>
    <t>Backend implemented by POST /api/book-editions with optional metadata and ISBN validation. The catalogue UI is still required.</t>
  </si>
  <si>
    <t>US-016</t>
  </si>
  <si>
    <t>view book and edition details</t>
  </si>
  <si>
    <t>I can confirm the correct record before adding it</t>
  </si>
  <si>
    <t>• Book title and authors are shown
• Available editions and their identifiers are shown
• Optional missing metadata does not break the response</t>
  </si>
  <si>
    <t>Implemented by book and edition detail endpoints.</t>
  </si>
  <si>
    <t>US-017</t>
  </si>
  <si>
    <t>Book copies</t>
  </si>
  <si>
    <t>Library member with edit access</t>
  </si>
  <si>
    <t>add a book copy manually to my library</t>
  </si>
  <si>
    <t>I can catalogue books even without an ISBN</t>
  </si>
  <si>
    <t>• User selects or creates the correct book edition
• New copy is associated with the selected library
• Format and reading status have defaults
• Location, condition, acquisition date, price/currency, signed/favourite flags and notes are optional
• Unauthorized users cannot add copies</t>
  </si>
  <si>
    <t>Backend implemented by POST /api/libraries/{libraryId}/books. The manual-add screen and end-to-end mobile flow are still required.</t>
  </si>
  <si>
    <t>US-018</t>
  </si>
  <si>
    <t>add multiple copies of the same edition</t>
  </si>
  <si>
    <t>I can accurately track duplicate physical copies</t>
  </si>
  <si>
    <t>• Adding an already-owned edition is allowed
• Each copy receives a distinct identifier
• Existing copies are not overwritten</t>
  </si>
  <si>
    <t>Implemented by distinct BookCopy creation for repeated editions.</t>
  </si>
  <si>
    <t>US-019</t>
  </si>
  <si>
    <t>view the books in a selected library</t>
  </si>
  <si>
    <t>I can see what I own</t>
  </si>
  <si>
    <t>• Only copies from the requested library are returned
• Book title, authors, edition and copy details are available
• Empty library is handled</t>
  </si>
  <si>
    <t>Implemented by GET /api/libraries/{libraryId}/books.</t>
  </si>
  <si>
    <t>US-020</t>
  </si>
  <si>
    <t>ISBN lookup</t>
  </si>
  <si>
    <t>submit an ISBN-10 or ISBN-13</t>
  </si>
  <si>
    <t>I can identify a book with minimal typing</t>
  </si>
  <si>
    <t>• ISBN format and checksum are validated
• Separators may be normalized
• Invalid ISBN receives a useful validation error</t>
  </si>
  <si>
    <t>Implemented by IsbnNormalizer checksum validation and separator normalization.</t>
  </si>
  <si>
    <t>US-021</t>
  </si>
  <si>
    <t>look up an ISBN in the local catalogue first</t>
  </si>
  <si>
    <t>existing data is reused and lookup is fast</t>
  </si>
  <si>
    <t>• Local editions are searched using normalized ISBN
• Matching local edition is returned without external request
• Missing local edition proceeds to external lookup</t>
  </si>
  <si>
    <t>Implemented by local-edition lookup before external providers.</t>
  </si>
  <si>
    <t>US-022</t>
  </si>
  <si>
    <t>Metadata</t>
  </si>
  <si>
    <t>retrieve book metadata from Open Library</t>
  </si>
  <si>
    <t>I can add books without entering every detail</t>
  </si>
  <si>
    <t>• Open Library lookup is attempted for unknown ISBN
• Found metadata is mapped to a preview
• Not-found and unavailable provider results are handled</t>
  </si>
  <si>
    <t>Implemented by OpenLibraryMetadataProvider in the provider chain.</t>
  </si>
  <si>
    <t>US-023</t>
  </si>
  <si>
    <t>receive consistent metadata from different providers</t>
  </si>
  <si>
    <t>I can review book details in one format</t>
  </si>
  <si>
    <t>• Provider responses map to Book, Author, Edition and Publisher fields
• Missing values remain optional
• Provider-specific data does not leak into the domain model</t>
  </si>
  <si>
    <t>Implemented by the common BookMetadata model and provider adapters.</t>
  </si>
  <si>
    <t>US-024</t>
  </si>
  <si>
    <t>use a fallback metadata provider when the primary source fails</t>
  </si>
  <si>
    <t>I have a better chance of identifying less common books</t>
  </si>
  <si>
    <t>• Providers use a common interface
• Next provider is tried on not-found or recoverable failure
• All providers failing returns a clear no-result response</t>
  </si>
  <si>
    <t>Implemented by FallbackBookMetadataProvider across Google Books, Open Library and web search.</t>
  </si>
  <si>
    <t>US-025</t>
  </si>
  <si>
    <t>preview identified book information before saving</t>
  </si>
  <si>
    <t>I can verify the result and avoid incorrect catalogue records</t>
  </si>
  <si>
    <t>• Preview includes available title, authors, edition and publisher
• Lookup does not create a copy automatically
• User can confirm or cancel</t>
  </si>
  <si>
    <t>Backend preview is implemented by GET /api/book-metadata/{isbn}; the mobile review and confirmation screen is still required.</t>
  </si>
  <si>
    <t>US-026</t>
  </si>
  <si>
    <t>Duplicate detection</t>
  </si>
  <si>
    <t>be warned if I already own the exact edition</t>
  </si>
  <si>
    <t>I can avoid accidental duplicate purchases</t>
  </si>
  <si>
    <t>• ISBN resolves to the edition
• Ownership check is scoped to the selected library
• Response indicates exact-edition ownership and number of copies</t>
  </si>
  <si>
    <t>Implemented by library-scoped exact-edition ownership checks with copy count.</t>
  </si>
  <si>
    <t>US-027</t>
  </si>
  <si>
    <t>know if I own a different edition of the same book</t>
  </si>
  <si>
    <t>I can decide whether I still want another edition</t>
  </si>
  <si>
    <t>• Other editions are matched through their BookId
• Response distinguishes other-edition ownership from exact match
• Owned edition details are available</t>
  </si>
  <si>
    <t>Not Started</t>
  </si>
  <si>
    <t>US-028</t>
  </si>
  <si>
    <t>see when a book is not owned</t>
  </si>
  <si>
    <t>I can add it confidently</t>
  </si>
  <si>
    <t>• No matching library copy returns not-owned status
• An edition existing globally is not treated as owned
• Result does not expose other libraries’ contents</t>
  </si>
  <si>
    <t>Implemented by a library-scoped not-owned result without exposing other libraries.</t>
  </si>
  <si>
    <t>US-029</t>
  </si>
  <si>
    <t>ISBN import</t>
  </si>
  <si>
    <t>confirm an ISBN lookup and add that edition to my library</t>
  </si>
  <si>
    <t>the identified book becomes part of my collection</t>
  </si>
  <si>
    <t>• Existing catalogue entities are reused
• Missing book/edition entities are created when needed
• One new BookCopy is created only after confirmation
• Failure does not leave a partially imported copy</t>
  </si>
  <si>
    <t>Backend implemented by POST /api/libraries/{libraryId}/book-imports/{isbn}, which resolves catalogue data and creates the copy transactionally. The mobile confirmation flow is still required.</t>
  </si>
  <si>
    <t>US-030</t>
  </si>
  <si>
    <t>manually complete a book when ISBN lookup fails</t>
  </si>
  <si>
    <t>books absent from metadata providers can still be catalogued</t>
  </si>
  <si>
    <t>• No-result response offers manual entry
• Manual entry accepts required fields and optional edition data
• User can save a copy without an ISBN</t>
  </si>
  <si>
    <t>Manual catalogue and copy APIs support ISBN-free records. The mobile app still needs to detect the final no-result outcome and guide the user through manual entry.</t>
  </si>
  <si>
    <t>US-031</t>
  </si>
  <si>
    <t>Mobile app</t>
  </si>
  <si>
    <t>register from the mobile app</t>
  </si>
  <si>
    <t>I can create an account on my phone</t>
  </si>
  <si>
    <t>• Registration form validates inputs
• API errors are displayed
• Success proceeds to email confirmation/login</t>
  </si>
  <si>
    <t>US-032</t>
  </si>
  <si>
    <t>log in from the mobile app</t>
  </si>
  <si>
    <t>I can access my collections on my phone</t>
  </si>
  <si>
    <t>• Login form calls the API
• Authenticated state is maintained appropriately
• Invalid credentials show an error</t>
  </si>
  <si>
    <t>US-033</t>
  </si>
  <si>
    <t>see a home screen with my libraries</t>
  </si>
  <si>
    <t>I can quickly enter a collection</t>
  </si>
  <si>
    <t>• Home lists accessible libraries
• User can select a library
• Empty state supports creating a library</t>
  </si>
  <si>
    <t>US-034</t>
  </si>
  <si>
    <t>browse my library on mobile</t>
  </si>
  <si>
    <t>I can see my owned books while away from home</t>
  </si>
  <si>
    <t>• Library screen lists copies/books
• Selecting an item opens its details
• Empty collection displays helpful guidance</t>
  </si>
  <si>
    <t>US-035</t>
  </si>
  <si>
    <t>scan a book barcode with my phone</t>
  </si>
  <si>
    <t>I can identify a book without typing its ISBN</t>
  </si>
  <si>
    <t>• Camera permission is handled
• Readable ISBN barcode is extracted
• Detected ISBN starts lookup or allows confirmation</t>
  </si>
  <si>
    <t>US-036</t>
  </si>
  <si>
    <t>review a book lookup result</t>
  </si>
  <si>
    <t>I can see metadata and ownership before saving</t>
  </si>
  <si>
    <t>• Lookup screen displays available metadata
• Exact/other/not-owned state is shown
• Add action is offered without forcing it</t>
  </si>
  <si>
    <t>US-037</t>
  </si>
  <si>
    <t>view book and copy details</t>
  </si>
  <si>
    <t>I can inspect which edition I own</t>
  </si>
  <si>
    <t>• Book details show authors and edition
• Copy-specific information is visible
• Missing optional metadata is handled</t>
  </si>
  <si>
    <t>US-038</t>
  </si>
  <si>
    <t>add a book from the mobile app</t>
  </si>
  <si>
    <t>I can finish cataloguing in one flow</t>
  </si>
  <si>
    <t>• User can confirm ISBN result or enter details manually
• Selected library receives the new copy
• Success and failure feedback are displayed</t>
  </si>
  <si>
    <t>US-039</t>
  </si>
  <si>
    <t>Search</t>
  </si>
  <si>
    <t>search my collection by title</t>
  </si>
  <si>
    <t>I can quickly find a book</t>
  </si>
  <si>
    <t>• Search is scoped to selected library
• Partial title matches are supported
• No-match state is returned</t>
  </si>
  <si>
    <t>Library-content searchText supports title matching in the API. The mobile search experience is still required.</t>
  </si>
  <si>
    <t>US-040</t>
  </si>
  <si>
    <t>search my collection by author</t>
  </si>
  <si>
    <t>I can find all my books by an author</t>
  </si>
  <si>
    <t>• Author-name matches are supported
• Books with multiple authors are discoverable
• Only accessible library results are returned</t>
  </si>
  <si>
    <t>US-041</t>
  </si>
  <si>
    <t>search my collection by ISBN</t>
  </si>
  <si>
    <t>I can locate a specific edition</t>
  </si>
  <si>
    <t>• ISBN is matched against edition identifiers
• ISBN normalization is applied
• Results are limited to selected library</t>
  </si>
  <si>
    <t>Library-content searchText supports ISBN fields in the API. The mobile search experience is still required.</t>
  </si>
  <si>
    <t>US-042</t>
  </si>
  <si>
    <t>filter my books by format and reading status</t>
  </si>
  <si>
    <t>I can focus on a subset of my collection</t>
  </si>
  <si>
    <t>• Format filter works
• Reading-status filter works
• Filters can be combined with search</t>
  </si>
  <si>
    <t>US-043</t>
  </si>
  <si>
    <t>update my copy’s reading status</t>
  </si>
  <si>
    <t>I can track my reading progress</t>
  </si>
  <si>
    <t>• Unread, Reading, Read, OnHold and Abandoned are supported
• Change is saved to the specific copy
• Other copies are unaffected</t>
  </si>
  <si>
    <t>US-044</t>
  </si>
  <si>
    <t>Locations</t>
  </si>
  <si>
    <t>create and assign library locations</t>
  </si>
  <si>
    <t>I can remember where books are stored</t>
  </si>
  <si>
    <t>• Location belongs to one library
• Copy can reference an optional location
• Parent/child locations are supported by the model</t>
  </si>
  <si>
    <t>Location hierarchy and copy assignment exist in the model, but location management endpoints are missing.</t>
  </si>
  <si>
    <t>US-045</t>
  </si>
  <si>
    <t>edit the details of an owned copy</t>
  </si>
  <si>
    <t>I can keep format, condition and notes accurate</t>
  </si>
  <si>
    <t>• Format, reading status, condition, acquisition date, purchase price/currency, signed/favourite flags, location and notes can be updated
• Edition identity is not silently changed
• Unauthorized changes are rejected</t>
  </si>
  <si>
    <t>US-046</t>
  </si>
  <si>
    <t>remove a copy from my library</t>
  </si>
  <si>
    <t>I can reflect books I no longer own</t>
  </si>
  <si>
    <t>• Only targeted copy is removed
• Other copies of the edition remain
• Catalogue book/edition is not deleted as a side effect</t>
  </si>
  <si>
    <t>US-047</t>
  </si>
  <si>
    <t>browse a large library in pages</t>
  </si>
  <si>
    <t>the list remains manageable</t>
  </si>
  <si>
    <t>• API accepts pagination parameters
• Response includes page information
• Filtering and pagination work together</t>
  </si>
  <si>
    <t>The library-content API supports pageNumber, pageSize, searchText, orderBy and orderDirection. Mobile paging and filtering controls are still required.</t>
  </si>
  <si>
    <t>US-048</t>
  </si>
  <si>
    <t>Bulk import</t>
  </si>
  <si>
    <t>scan multiple ISBNs in one session</t>
  </si>
  <si>
    <t>I can catalogue a large collection quickly</t>
  </si>
  <si>
    <t>• Multiple scans are collected into a batch
• Items are visible before final import
• Scanning can continue without individual confirmation</t>
  </si>
  <si>
    <t>US-049</t>
  </si>
  <si>
    <t>review a batch before importing</t>
  </si>
  <si>
    <t>I can catch mistakes and duplicates</t>
  </si>
  <si>
    <t>• Batch lists found, duplicate and failed items
• User can exclude an item
• Confirmed batch is submitted for processing</t>
  </si>
  <si>
    <t>US-050</t>
  </si>
  <si>
    <t>import many editions as a batch</t>
  </si>
  <si>
    <t>I can avoid repeating the add process</t>
  </si>
  <si>
    <t>• Import batch and item records are persisted
• Each item has a processing outcome
• Successful items create copies in selected library</t>
  </si>
  <si>
    <t>US-051</t>
  </si>
  <si>
    <t>process large imports in the background</t>
  </si>
  <si>
    <t>the app stays responsive during import</t>
  </si>
  <si>
    <t>• Processing does not require an open request
• Batch status can be queried
• Individual item errors do not halt unrelated items</t>
  </si>
  <si>
    <t>US-052</t>
  </si>
  <si>
    <t>see a duplicate and failure summary after import</t>
  </si>
  <si>
    <t>I know which books need attention</t>
  </si>
  <si>
    <t>• Counts of imported, duplicate and failed items are shown
• Failures include actionable reasons
• Failed items can be reviewed</t>
  </si>
  <si>
    <t>US-053</t>
  </si>
  <si>
    <t>Reliability</t>
  </si>
  <si>
    <t>receive timely responses when a metadata provider is slow</t>
  </si>
  <si>
    <t>a failed service does not freeze my lookup</t>
  </si>
  <si>
    <t>• External requests have timeouts
• Transient errors use bounded retries
• Exhausted providers return a controlled error</t>
  </si>
  <si>
    <t>Provider timeouts and fallback exist; bounded retry policies are not implemented.</t>
  </si>
  <si>
    <t>US-054</t>
  </si>
  <si>
    <t>Performance</t>
  </si>
  <si>
    <t>benefit from cached metadata lookups</t>
  </si>
  <si>
    <t>repeated ISBN searches are faster</t>
  </si>
  <si>
    <t>• Redis caches appropriate lookup results
• Cache-aside lookup is implemented
• Cache failure does not prevent normal lookup</t>
  </si>
  <si>
    <t>US-055</t>
  </si>
  <si>
    <t>Operations</t>
  </si>
  <si>
    <t>Maintainer</t>
  </si>
  <si>
    <t>inspect structured application logs</t>
  </si>
  <si>
    <t>I can diagnose failures</t>
  </si>
  <si>
    <t>• Key request and import failures are logged
• Logs include correlation/context where appropriate
• Credentials and tokens are not logged</t>
  </si>
  <si>
    <t>Metadata-provider failures are logged and API errors carry trace IDs; broader structured request/import logging is missing.</t>
  </si>
  <si>
    <t>US-056</t>
  </si>
  <si>
    <t>check application health</t>
  </si>
  <si>
    <t>I can detect service problems</t>
  </si>
  <si>
    <t>• Health endpoint is available
• Critical dependencies are checked appropriately
• Health response does not expose secrets</t>
  </si>
  <si>
    <t>US-057</t>
  </si>
  <si>
    <t>Quality</t>
  </si>
  <si>
    <t>run unit tests for core business rules</t>
  </si>
  <si>
    <t>changes do not break important behavior</t>
  </si>
  <si>
    <t>• ISBN validation and duplicate states have tests
• Library access rules have tests
• Tests run repeatably</t>
  </si>
  <si>
    <t>Implemented by repeatable unit tests for identity, libraries, ISBN lookup and ownership rules.</t>
  </si>
  <si>
    <t>US-058</t>
  </si>
  <si>
    <t>run integration tests for core API workflows</t>
  </si>
  <si>
    <t>database and endpoint behavior is verified</t>
  </si>
  <si>
    <t>• Auth and library API paths are tested
• ISBN lookup/import paths are tested
• Tests use isolated data</t>
  </si>
  <si>
    <t>US-059</t>
  </si>
  <si>
    <t>Delivery</t>
  </si>
  <si>
    <t>run the application using Docker</t>
  </si>
  <si>
    <t>setup is reproducible</t>
  </si>
  <si>
    <t>• API container builds successfully
• Required dependencies are configured
• Documented startup works on a clean machine</t>
  </si>
  <si>
    <t>US-060</t>
  </si>
  <si>
    <t>automatically build and test changes</t>
  </si>
  <si>
    <t>regressions are detected early</t>
  </si>
  <si>
    <t>• CI runs on repository changes
• Build and tests run in pipeline
• Failures are visible</t>
  </si>
  <si>
    <t>US-061</t>
  </si>
  <si>
    <t>deploy the application to a production environment</t>
  </si>
  <si>
    <t>the product can be used outside my development machine</t>
  </si>
  <si>
    <t>• Production configuration is externalized
• Database migrations/deployment steps are documented
• API is reachable and health-checked</t>
  </si>
  <si>
    <t>US-062</t>
  </si>
  <si>
    <t>Shared libraries</t>
  </si>
  <si>
    <t>invite someone to my library</t>
  </si>
  <si>
    <t>we can manage a shared collection</t>
  </si>
  <si>
    <t>• Invitation targets an intended user
• Recipient can accept or decline
• Only authorized owner can invite</t>
  </si>
  <si>
    <t>US-063</t>
  </si>
  <si>
    <t>assign Owner, Editor or Viewer access</t>
  </si>
  <si>
    <t>members have appropriate permissions</t>
  </si>
  <si>
    <t>• Roles control read/write operations
• Viewer cannot modify books or copies
• Membership changes are authorized</t>
  </si>
  <si>
    <t>Owner, Editor and Viewer roles are modeled and enforced; owner-facing membership assignment is missing.</t>
  </si>
  <si>
    <t>US-064</t>
  </si>
  <si>
    <t>choose who can see my library</t>
  </si>
  <si>
    <t>I can protect or share my collection</t>
  </si>
  <si>
    <t>• Visibility setting is stored
• Private and member-scoped access are respected
• Broader visibility modes follow configured permissions</t>
  </si>
  <si>
    <t>Visibility is stored and editable; public, friends-only and broader visibility access rules are not implemented.</t>
  </si>
  <si>
    <t>US-065</t>
  </si>
  <si>
    <t>Loans</t>
  </si>
  <si>
    <t>record that I lent a book copy</t>
  </si>
  <si>
    <t>I can remember who has it</t>
  </si>
  <si>
    <t>• Loan references a specific copy
• Borrower and loan date are recorded
• Active loan status is shown</t>
  </si>
  <si>
    <t>US-066</t>
  </si>
  <si>
    <t>record the return of a lent book</t>
  </si>
  <si>
    <t>my collection reflects returned books</t>
  </si>
  <si>
    <t>• Return date and status are updated
• Completed loan remains in history
• Duplicate return action is handled</t>
  </si>
  <si>
    <t>US-067</t>
  </si>
  <si>
    <t>Wishlist</t>
  </si>
  <si>
    <t>save a book to my wishlist</t>
  </si>
  <si>
    <t>I can remember books I want to buy</t>
  </si>
  <si>
    <t>• Wishlist entry can reference desired book/edition
• Wishlist can be viewed and updated
• Wishlist entry is separate from owned copies</t>
  </si>
  <si>
    <t>US-068</t>
  </si>
  <si>
    <t>Friends</t>
  </si>
  <si>
    <t>connect with another reader</t>
  </si>
  <si>
    <t>I can optionally share book interests</t>
  </si>
  <si>
    <t>• Friend request can be sent
• Recipient can accept or reject
• Only permitted library information is visible</t>
  </si>
  <si>
    <t>US-069</t>
  </si>
  <si>
    <t>view a friend’s shared library</t>
  </si>
  <si>
    <t>I can discover books they own</t>
  </si>
  <si>
    <t>• Only libraries visible to the viewer are listed
• Private libraries are excluded
• Shared library access respects visibility and roles</t>
  </si>
  <si>
    <t>US-070</t>
  </si>
  <si>
    <t>OCR</t>
  </si>
  <si>
    <t>identify a book without a readable barcode</t>
  </si>
  <si>
    <t>I can still find its metadata</t>
  </si>
  <si>
    <t>• User can submit book cover/text for recognition
• Recognized candidates require user confirmation
• Uncertain results can fall back to manual entry</t>
  </si>
  <si>
    <t>US-071</t>
  </si>
  <si>
    <t>Offline</t>
  </si>
  <si>
    <t>Mobile user</t>
  </si>
  <si>
    <t>browse saved library data offline</t>
  </si>
  <si>
    <t>I can use the app without a connection</t>
  </si>
  <si>
    <t>• Previously synced data is available offline
• Offline state is clearly indicated
• Updates sync when connectivity returns</t>
  </si>
  <si>
    <t>US-072</t>
  </si>
  <si>
    <t>Notifications</t>
  </si>
  <si>
    <t>receive relevant library or loan notifications</t>
  </si>
  <si>
    <t>I do not miss important updates</t>
  </si>
  <si>
    <t>• Notification type and trigger are defined
• Only intended recipients receive messages
• Notification delivery failures are handled</t>
  </si>
  <si>
    <t>US-073</t>
  </si>
  <si>
    <t>Library owner or editor</t>
  </si>
  <si>
    <t>update a library description and visibility</t>
  </si>
  <si>
    <t>the collection settings remain current</t>
  </si>
  <si>
    <t>• Name, description and visibility support partial updates
• Empty descriptions can be cleared intentionally
• Invalid visibility values and unauthorized updates are rejected</t>
  </si>
  <si>
    <t>Implemented by PATCH /api/libraries/{libraryId} and LibraryService.</t>
  </si>
  <si>
    <t>US-074</t>
  </si>
  <si>
    <t>list, search, sort and page through my libraries</t>
  </si>
  <si>
    <t>I can find the collection I want to open</t>
  </si>
  <si>
    <t>• Only libraries available to the current user are returned
• Search covers library name and description
• Paging metadata, stable sorting, role, member count and book count are returned</t>
  </si>
  <si>
    <t>The paged/searchable/sortable library API is implemented. The mobile home/library-selection experience is still required.</t>
  </si>
  <si>
    <t>US-075</t>
  </si>
  <si>
    <t>update an author record</t>
  </si>
  <si>
    <t>author information can be corrected and completed</t>
  </si>
  <si>
    <t>• Name, biography and life dates can be updated
• A death date before the birth date is rejected
• Unknown authors return a clear not-found response</t>
  </si>
  <si>
    <t>Implemented by PATCH /api/authors/{authorId}.</t>
  </si>
  <si>
    <t>US-076</t>
  </si>
  <si>
    <t>update a publisher record</t>
  </si>
  <si>
    <t>publisher information remains accurate</t>
  </si>
  <si>
    <t>• Publisher name and website can be updated
• Invalid URLs and empty requests are rejected
• Unknown publishers return a clear not-found response</t>
  </si>
  <si>
    <t>Implemented by PATCH /api/publishers/{publisherId}.</t>
  </si>
  <si>
    <t>US-077</t>
  </si>
  <si>
    <t>update a book and its ordered authors</t>
  </si>
  <si>
    <t>catalogue records can be corrected without duplicate author links</t>
  </si>
  <si>
    <t>• Book metadata supports partial updates
• Author order is retained when associations change
• Unknown and duplicate author references are rejected</t>
  </si>
  <si>
    <t>Implemented by PATCH /api/books/{bookId} and BookService.</t>
  </si>
  <si>
    <t>US-078</t>
  </si>
  <si>
    <t>update an edition record</t>
  </si>
  <si>
    <t>edition metadata and identifiers remain accurate</t>
  </si>
  <si>
    <t>• Edition, publisher, ISBN, language, date, pages, cover and description can be updated
• ISBN checksums and related entity identifiers are validated
• Unknown editions return a clear not-found response</t>
  </si>
  <si>
    <t>Backend implemented by PATCH /api/book-editions/{editionId}. The catalogue-editing UI is still required.</t>
  </si>
  <si>
    <t>US-079</t>
  </si>
  <si>
    <t>Catalogue user</t>
  </si>
  <si>
    <t>navigate books, authors, editions and publishers by relationship</t>
  </si>
  <si>
    <t>I can explore the catalogue without duplicating data</t>
  </si>
  <si>
    <t>• Books can be retrieved by author
• Authors and editions can be retrieved by book
• Publishers used by a book can be retrieved</t>
  </si>
  <si>
    <t>Relationship and top-level catalogue GET endpoints are implemented. Frontend catalogue navigation is still required.</t>
  </si>
  <si>
    <t>US-080</t>
  </si>
  <si>
    <t>see metadata provenance and confirm web-search results</t>
  </si>
  <si>
    <t>unverified metadata is not imported without review</t>
  </si>
  <si>
    <t>• Lookup results identify their source and whether review is required
• Web-search metadata includes source references
• Import rejects review-required metadata without explicit confirmation</t>
  </si>
  <si>
    <t>Metadata provenance, source URLs and confirmation enforcement are implemented in the API. The frontend review experience is still required.</t>
  </si>
  <si>
    <t>US-081</t>
  </si>
  <si>
    <t>System maintainer</t>
  </si>
  <si>
    <t>import reviewed metadata atomically while reusing catalogue entities</t>
  </si>
  <si>
    <t>concurrent or failed imports do not create partial duplicate data</t>
  </si>
  <si>
    <t>• The ISBN is rechecked inside the transaction
• Existing authors, publishers and matching books are reused
• Book and edition changes commit together or roll back together</t>
  </si>
  <si>
    <t>Implemented by BookMetadataLookupService transactional import.</t>
  </si>
  <si>
    <t>US-082</t>
  </si>
  <si>
    <t>browse, search, sort and page through catalogue records</t>
  </si>
  <si>
    <t>I can find books, authors, editions and publishers efficiently</t>
  </si>
  <si>
    <t>• Books, authors, editions and publishers have list endpoints
• Results include paging metadata and deterministic sorting
• Search checks relevant text fields
• The frontend exposes browse, search, sort and paging controls</t>
  </si>
  <si>
    <t>Backend list endpoints and common paging/search/sort parameters are implemented. Frontend catalogue browsing is still required.</t>
  </si>
  <si>
    <t>US-083</t>
  </si>
  <si>
    <t>Reading insights</t>
  </si>
  <si>
    <t>view statistics about my reading and collection</t>
  </si>
  <si>
    <t>I can understand my reading habits and collection composition</t>
  </si>
  <si>
    <t>• Statistics are scoped to accessible libraries
• Counts and trends can be grouped by reading status and format
• Missing dates or optional metadata do not distort results
• The user can open the supporting books from a result</t>
  </si>
  <si>
    <t>Identified in the README roadmap; no application workflow is implemented.</t>
  </si>
  <si>
    <t>US-084</t>
  </si>
  <si>
    <t>Recommendations</t>
  </si>
  <si>
    <t>receive relevant book recommendations</t>
  </si>
  <si>
    <t>I can discover books that fit my interests without recommending books I already own</t>
  </si>
  <si>
    <t>• Recommendations use permitted library or reading signals
• Already-owned books can be excluded
• The reason for a recommendation is understandable
• Recommendation processing respects privacy settings</t>
  </si>
  <si>
    <t>Identified in the README roadmap; no recommendation workflow is implemented.</t>
  </si>
  <si>
    <t>US-085</t>
  </si>
  <si>
    <t>see loans that are due or overdue</t>
  </si>
  <si>
    <t>I can follow up on books that have not been returned</t>
  </si>
  <si>
    <t>• Active loans show borrower and expected return date
• Overdue status is derived consistently
• Returned and lost loans are distinguished
• Results include only copies the user may access</t>
  </si>
  <si>
    <t>The loan model stores expected return dates and status, but loan-management endpoints and UI are not implemented.</t>
  </si>
  <si>
    <t>Status and implementation evidence were reviewed on 27 October 2026.</t>
  </si>
  <si>
    <t>Story status is end-to-end. Backend, database and frontend progress is tracked separately on Tasks.</t>
  </si>
  <si>
    <t>M0–M3 are the MVP path. M4–M7 and Future remain subsequent work.</t>
  </si>
  <si>
    <t>Sources: Requirements, Product Vision, Milestones, Backlog, ERD, metadata-provider documentation, README and current repository implementation.</t>
  </si>
  <si>
    <t>Epic ID</t>
  </si>
  <si>
    <t>Epic</t>
  </si>
  <si>
    <t>Outcome</t>
  </si>
  <si>
    <t>Milestones</t>
  </si>
  <si>
    <t>Related US IDs</t>
  </si>
  <si>
    <t>Story Count</t>
  </si>
  <si>
    <t>Task Count</t>
  </si>
  <si>
    <t>Done Tasks</t>
  </si>
  <si>
    <t>Blocked</t>
  </si>
  <si>
    <t>Epic Status</t>
  </si>
  <si>
    <t>Sources and notes</t>
  </si>
  <si>
    <t>EP-001</t>
  </si>
  <si>
    <t>Account and access</t>
  </si>
  <si>
    <t>Users can create, verify and securely use an account.</t>
  </si>
  <si>
    <t>US-001, US-002, US-003, US-004, US-005, US-006, US-007</t>
  </si>
  <si>
    <t>Requirements.md: Account; Milestones.md: M0 Foundation</t>
  </si>
  <si>
    <t>EP-002</t>
  </si>
  <si>
    <t>Libraries and membership</t>
  </si>
  <si>
    <t>Users can create, discover and securely manage libraries and membership.</t>
  </si>
  <si>
    <t>US-008, US-009, US-010, US-073, US-074</t>
  </si>
  <si>
    <t>Requirements.md: Library; Milestones.md: M1; ERD.pdf</t>
  </si>
  <si>
    <t>EP-003</t>
  </si>
  <si>
    <t>Catalogue management</t>
  </si>
  <si>
    <t>Catalogue users can manage and navigate books, authors, publishers and editions.</t>
  </si>
  <si>
    <t>M1 — Core Library; M4 — Organization</t>
  </si>
  <si>
    <t>US-011, US-012, US-013, US-014, US-015, US-016, US-075, US-076, US-077, US-078, US-079, US-082</t>
  </si>
  <si>
    <t>Requirements.md: Catalogue; Milestones.md: M1 and M4; ERD.pdf</t>
  </si>
  <si>
    <t>EP-004</t>
  </si>
  <si>
    <t>Book-copy management</t>
  </si>
  <si>
    <t>Library members can add and maintain the physical copies they own.</t>
  </si>
  <si>
    <t>US-017, US-018, US-019, US-043, US-045, US-046</t>
  </si>
  <si>
    <t>Requirements.md: Book copies; ProductVision.md; ERD.pdf</t>
  </si>
  <si>
    <t>EP-005</t>
  </si>
  <si>
    <t>ISBN and metadata</t>
  </si>
  <si>
    <t>ISBN lookup identifies books, normalizes metadata and supports confirmed or manual import.</t>
  </si>
  <si>
    <t>US-020, US-021, US-022, US-023, US-024, US-025, US-029, US-030, US-080, US-081</t>
  </si>
  <si>
    <t>Requirements.md: ISBN lookup; Milestones.md: M2; BookMetadataProviders.md</t>
  </si>
  <si>
    <t>EP-006</t>
  </si>
  <si>
    <t>Ownership detection</t>
  </si>
  <si>
    <t>Users can distinguish exact, other-edition and not-owned outcomes before adding a copy.</t>
  </si>
  <si>
    <t>US-026, US-027, US-028</t>
  </si>
  <si>
    <t>Requirements.md: Duplicate detection; Milestones.md: M2</t>
  </si>
  <si>
    <t>EP-007</t>
  </si>
  <si>
    <t>Mobile experience</t>
  </si>
  <si>
    <t>The MAUI app exposes the core account, library, scanning and book workflows.</t>
  </si>
  <si>
    <t>US-031, US-032, US-033, US-034, US-035, US-036, US-037, US-038</t>
  </si>
  <si>
    <t>Milestones.md: M3 Mobile MVP; ProductVision.md</t>
  </si>
  <si>
    <t>EP-008</t>
  </si>
  <si>
    <t>Search and organization</t>
  </si>
  <si>
    <t>Users can find, filter, locate and organize books in large libraries.</t>
  </si>
  <si>
    <t>US-039, US-040, US-041, US-042, US-044, US-047</t>
  </si>
  <si>
    <t>Requirements.md: Library browsing; Milestones.md: M4</t>
  </si>
  <si>
    <t>EP-009</t>
  </si>
  <si>
    <t>Users can review and process many scans without blocking the application.</t>
  </si>
  <si>
    <t>US-048, US-049, US-050, US-051, US-052</t>
  </si>
  <si>
    <t>ProductVision.md: Bulk scanning; Milestones.md: M5</t>
  </si>
  <si>
    <t>EP-010</t>
  </si>
  <si>
    <t>Production engineering</t>
  </si>
  <si>
    <t>The application is observable, resilient, tested and deployable.</t>
  </si>
  <si>
    <t>US-053, US-054, US-055, US-056, US-057, US-058, US-059, US-060, US-061</t>
  </si>
  <si>
    <t>Milestones.md: M6; README.md: Production features and delivery</t>
  </si>
  <si>
    <t>EP-011</t>
  </si>
  <si>
    <t>Sharing, loans and discovery</t>
  </si>
  <si>
    <t>Users can share libraries, lend books and optionally connect with other readers.</t>
  </si>
  <si>
    <t>US-062, US-063, US-064, US-065, US-066, US-067, US-068, US-069, US-085</t>
  </si>
  <si>
    <t>ProductVision.md: Shared libraries and lending; Milestones.md: M7; ERD.pdf</t>
  </si>
  <si>
    <t>EP-012</t>
  </si>
  <si>
    <t>Future intelligence and offline</t>
  </si>
  <si>
    <t>The product can recognize books in new ways, work offline and provide useful insights.</t>
  </si>
  <si>
    <t>US-070, US-071, US-072, US-083, US-084</t>
  </si>
  <si>
    <t>Requirements.md: Later requirements; README.md: Future; ProductVision.md</t>
  </si>
  <si>
    <t>Task ID</t>
  </si>
  <si>
    <t>US ID</t>
  </si>
  <si>
    <t>Area</t>
  </si>
  <si>
    <t>Task</t>
  </si>
  <si>
    <t>Done Criteria</t>
  </si>
  <si>
    <t>Depends On</t>
  </si>
  <si>
    <t>Evidence and notes</t>
  </si>
  <si>
    <t>TASK-001-DB</t>
  </si>
  <si>
    <t>Database</t>
  </si>
  <si>
    <t>Model and persist the data required to register with my email and password.</t>
  </si>
  <si>
    <t>Valid details create a user account Schema, relationships, constraints and migrations support the story safely.</t>
  </si>
  <si>
    <t>TASK-001-BE</t>
  </si>
  <si>
    <t>Backend/API</t>
  </si>
  <si>
    <t>Implement the API and application behavior to register with my email and password.</t>
  </si>
  <si>
    <t>Valid details create a user account Authorization, validation, success and failure responses are defined.</t>
  </si>
  <si>
    <t>TASK-001-FE</t>
  </si>
  <si>
    <t>Frontend</t>
  </si>
  <si>
    <t>Build the mobile user flow to register with my email and password.</t>
  </si>
  <si>
    <t>Valid details create a user account The user can complete the flow with loading, empty, validation and error states.</t>
  </si>
  <si>
    <t>The MAUI project does not yet provide this completed feature flow.</t>
  </si>
  <si>
    <t>TASK-001-TEST</t>
  </si>
  <si>
    <t>Testing</t>
  </si>
  <si>
    <t>Automate acceptance coverage for the ability to register with my email and password.</t>
  </si>
  <si>
    <t>Valid details create a user account Happy paths, validation, authorization and failure paths are repeatable.</t>
  </si>
  <si>
    <t>TASK-001-DB, TASK-001-BE, TASK-001-FE</t>
  </si>
  <si>
    <t>Current unit tests cover part of the story; end-to-end acceptance coverage remains.</t>
  </si>
  <si>
    <t>TASK-002-DB</t>
  </si>
  <si>
    <t>Model and persist the data required to confirm my email address.</t>
  </si>
  <si>
    <t>Confirmation token is validated Schema, relationships, constraints and migrations support the story safely.</t>
  </si>
  <si>
    <t>TASK-002-BE</t>
  </si>
  <si>
    <t>Implement the API and application behavior to confirm my email address.</t>
  </si>
  <si>
    <t>Confirmation token is validated Authorization, validation, success and failure responses are defined.</t>
  </si>
  <si>
    <t>TASK-002-FE</t>
  </si>
  <si>
    <t>Build the mobile user flow to confirm my email address.</t>
  </si>
  <si>
    <t>Confirmation token is validated The user can complete the flow with loading, empty, validation and error states.</t>
  </si>
  <si>
    <t>TASK-002-TEST</t>
  </si>
  <si>
    <t>Automate acceptance coverage for the ability to confirm my email address.</t>
  </si>
  <si>
    <t>Confirmation token is validated Happy paths, validation, authorization and failure paths are repeatable.</t>
  </si>
  <si>
    <t>TASK-002-DB, TASK-002-BE, TASK-002-FE</t>
  </si>
  <si>
    <t>No completed implementation is documented in the current repository audit.</t>
  </si>
  <si>
    <t>TASK-003-DB</t>
  </si>
  <si>
    <t>Model and persist the data required to log in to my account.</t>
  </si>
  <si>
    <t>Valid credentials return authentication tokens Schema, relationships, constraints and migrations support the story safely.</t>
  </si>
  <si>
    <t>TASK-003-BE</t>
  </si>
  <si>
    <t>Implement the API and application behavior to log in to my account.</t>
  </si>
  <si>
    <t>Valid credentials return authentication tokens Authorization, validation, success and failure responses are defined.</t>
  </si>
  <si>
    <t>TASK-003-FE</t>
  </si>
  <si>
    <t>Build the mobile user flow to log in to my account.</t>
  </si>
  <si>
    <t>Valid credentials return authentication tokens The user can complete the flow with loading, empty, validation and error states.</t>
  </si>
  <si>
    <t>TASK-003-TEST</t>
  </si>
  <si>
    <t>Automate acceptance coverage for the ability to log in to my account.</t>
  </si>
  <si>
    <t>Valid credentials return authentication tokens Happy paths, validation, authorization and failure paths are repeatable.</t>
  </si>
  <si>
    <t>TASK-003-DB, TASK-003-BE, TASK-003-FE</t>
  </si>
  <si>
    <t>TASK-004-DB</t>
  </si>
  <si>
    <t>Model and persist the data required to refresh an expired access token.</t>
  </si>
  <si>
    <t>Valid refresh token issues new authentication tokens Schema, relationships, constraints and migrations support the story safely.</t>
  </si>
  <si>
    <t>TASK-004-BE</t>
  </si>
  <si>
    <t>Implement the API and application behavior to refresh an expired access token.</t>
  </si>
  <si>
    <t>Valid refresh token issues new authentication tokens Authorization, validation, success and failure responses are defined.</t>
  </si>
  <si>
    <t>TASK-004-FE</t>
  </si>
  <si>
    <t>Build the mobile user flow to refresh an expired access token.</t>
  </si>
  <si>
    <t>Valid refresh token issues new authentication tokens The user can complete the flow with loading, empty, validation and error states.</t>
  </si>
  <si>
    <t>TASK-004-TEST</t>
  </si>
  <si>
    <t>Automate acceptance coverage for the ability to refresh an expired access token.</t>
  </si>
  <si>
    <t>Valid refresh token issues new authentication tokens Happy paths, validation, authorization and failure paths are repeatable.</t>
  </si>
  <si>
    <t>TASK-004-DB, TASK-004-BE, TASK-004-FE</t>
  </si>
  <si>
    <t>TASK-005-DB</t>
  </si>
  <si>
    <t>Model and persist the data required to request a new email-confirmation message.</t>
  </si>
  <si>
    <t>An unconfirmed account receives a new confirmation challenge Schema, relationships, constraints and migrations support the story safely.</t>
  </si>
  <si>
    <t>TASK-005-BE</t>
  </si>
  <si>
    <t>Implement the API and application behavior to request a new email-confirmation message.</t>
  </si>
  <si>
    <t>An unconfirmed account receives a new confirmation challenge Authorization, validation, success and failure responses are defined.</t>
  </si>
  <si>
    <t>TASK-005-FE</t>
  </si>
  <si>
    <t>Build the mobile user flow to request a new email-confirmation message.</t>
  </si>
  <si>
    <t>An unconfirmed account receives a new confirmation challenge The user can complete the flow with loading, empty, validation and error states.</t>
  </si>
  <si>
    <t>TASK-005-TEST</t>
  </si>
  <si>
    <t>Automate acceptance coverage for the ability to request a new email-confirmation message.</t>
  </si>
  <si>
    <t>An unconfirmed account receives a new confirmation challenge Happy paths, validation, authorization and failure paths are repeatable.</t>
  </si>
  <si>
    <t>TASK-005-DB, TASK-005-BE, TASK-005-FE</t>
  </si>
  <si>
    <t>TASK-006-DB</t>
  </si>
  <si>
    <t>Model and persist the data required to log out of my current refresh-token session.</t>
  </si>
  <si>
    <t>Logout requires an authenticated user Schema, relationships, constraints and migrations support the story safely.</t>
  </si>
  <si>
    <t>TASK-006-BE</t>
  </si>
  <si>
    <t>Implement the API and application behavior to log out of my current refresh-token session.</t>
  </si>
  <si>
    <t>Logout requires an authenticated user Authorization, validation, success and failure responses are defined.</t>
  </si>
  <si>
    <t>TASK-006-FE</t>
  </si>
  <si>
    <t>Build the mobile user flow to log out of my current refresh-token session.</t>
  </si>
  <si>
    <t>Logout requires an authenticated user The user can complete the flow with loading, empty, validation and error states.</t>
  </si>
  <si>
    <t>TASK-006-TEST</t>
  </si>
  <si>
    <t>Automate acceptance coverage for the ability to log out of my current refresh-token session.</t>
  </si>
  <si>
    <t>Logout requires an authenticated user Happy paths, validation, authorization and failure paths are repeatable.</t>
  </si>
  <si>
    <t>TASK-006-DB, TASK-006-BE, TASK-006-FE</t>
  </si>
  <si>
    <t>TASK-007-BE</t>
  </si>
  <si>
    <t>Implement the API and application behavior to receive consistent success and failure responses.</t>
  </si>
  <si>
    <t>Successful responses use the common API envelope Authorization, validation, success and failure responses are defined.</t>
  </si>
  <si>
    <t>TASK-007-TEST</t>
  </si>
  <si>
    <t>Automate acceptance coverage for the ability to receive consistent success and failure responses.</t>
  </si>
  <si>
    <t>Successful responses use the common API envelope Happy paths, validation, authorization and failure paths are repeatable.</t>
  </si>
  <si>
    <t>TASK-008-DB</t>
  </si>
  <si>
    <t>Model and persist the data required to rename my library.</t>
  </si>
  <si>
    <t>Owner can update the library name Schema, relationships, constraints and migrations support the story safely.</t>
  </si>
  <si>
    <t>TASK-008-BE</t>
  </si>
  <si>
    <t>Implement the API and application behavior to rename my library.</t>
  </si>
  <si>
    <t>Owner can update the library name Authorization, validation, success and failure responses are defined.</t>
  </si>
  <si>
    <t>TASK-008-FE</t>
  </si>
  <si>
    <t>Build the mobile user flow to rename my library.</t>
  </si>
  <si>
    <t>Owner can update the library name The user can complete the flow with loading, empty, validation and error states.</t>
  </si>
  <si>
    <t>TASK-008-TEST</t>
  </si>
  <si>
    <t>Automate acceptance coverage for the ability to rename my library.</t>
  </si>
  <si>
    <t>Owner can update the library name Happy paths, validation, authorization and failure paths are repeatable.</t>
  </si>
  <si>
    <t>TASK-008-DB, TASK-008-BE, TASK-008-FE</t>
  </si>
  <si>
    <t>TASK-009-DB</t>
  </si>
  <si>
    <t>Model and persist the data required to create a personal library.</t>
  </si>
  <si>
    <t>An authenticated user can create a library with a valid name Schema, relationships, constraints and migrations support the story safely.</t>
  </si>
  <si>
    <t>TASK-009-BE</t>
  </si>
  <si>
    <t>Implement the API and application behavior to create a personal library.</t>
  </si>
  <si>
    <t>An authenticated user can create a library with a valid name Authorization, validation, success and failure responses are defined.</t>
  </si>
  <si>
    <t>TASK-009-FE</t>
  </si>
  <si>
    <t>Build the mobile user flow to create a personal library.</t>
  </si>
  <si>
    <t>An authenticated user can create a library with a valid name The user can complete the flow with loading, empty, validation and error states.</t>
  </si>
  <si>
    <t>TASK-009-TEST</t>
  </si>
  <si>
    <t>Automate acceptance coverage for the ability to create a personal library.</t>
  </si>
  <si>
    <t>An authenticated user can create a library with a valid name Happy paths, validation, authorization and failure paths are repeatable.</t>
  </si>
  <si>
    <t>TASK-009-DB, TASK-009-BE, TASK-009-FE</t>
  </si>
  <si>
    <t>TASK-010-DB</t>
  </si>
  <si>
    <t>Model and persist the data required to access only libraries I am authorized to use.</t>
  </si>
  <si>
    <t>Membership is checked on library-scoped requests Schema, relationships, constraints and migrations support the story safely.</t>
  </si>
  <si>
    <t>TASK-010-BE</t>
  </si>
  <si>
    <t>Implement the API and application behavior to access only libraries I am authorized to use.</t>
  </si>
  <si>
    <t>Membership is checked on library-scoped requests Authorization, validation, success and failure responses are defined.</t>
  </si>
  <si>
    <t>TASK-010-FE</t>
  </si>
  <si>
    <t>Build the mobile user flow to access only libraries I am authorized to use.</t>
  </si>
  <si>
    <t>Membership is checked on library-scoped requests The user can complete the flow with loading, empty, validation and error states.</t>
  </si>
  <si>
    <t>TASK-010-TEST</t>
  </si>
  <si>
    <t>Automate acceptance coverage for the ability to access only libraries I am authorized to use.</t>
  </si>
  <si>
    <t>Membership is checked on library-scoped requests Happy paths, validation, authorization and failure paths are repeatable.</t>
  </si>
  <si>
    <t>TASK-010-DB, TASK-010-BE, TASK-010-FE</t>
  </si>
  <si>
    <t>TASK-011-DB</t>
  </si>
  <si>
    <t>Model and persist the data required to create an author record.</t>
  </si>
  <si>
    <t>Author name is required Schema, relationships, constraints and migrations support the story safely.</t>
  </si>
  <si>
    <t>TASK-011-BE</t>
  </si>
  <si>
    <t>Implement the API and application behavior to create an author record.</t>
  </si>
  <si>
    <t>Author name is required Authorization, validation, success and failure responses are defined.</t>
  </si>
  <si>
    <t>TASK-011-FE</t>
  </si>
  <si>
    <t>Build the mobile user flow to create an author record.</t>
  </si>
  <si>
    <t>Author name is required The user can complete the flow with loading, empty, validation and error states.</t>
  </si>
  <si>
    <t>TASK-011-TEST</t>
  </si>
  <si>
    <t>Automate acceptance coverage for the ability to create an author record.</t>
  </si>
  <si>
    <t>Author name is required Happy paths, validation, authorization and failure paths are repeatable.</t>
  </si>
  <si>
    <t>TASK-011-DB, TASK-011-BE, TASK-011-FE</t>
  </si>
  <si>
    <t>TASK-012-DB</t>
  </si>
  <si>
    <t>Model and persist the data required to create a publisher record.</t>
  </si>
  <si>
    <t>Publisher name is required Schema, relationships, constraints and migrations support the story safely.</t>
  </si>
  <si>
    <t>TASK-012-BE</t>
  </si>
  <si>
    <t>Implement the API and application behavior to create a publisher record.</t>
  </si>
  <si>
    <t>Publisher name is required Authorization, validation, success and failure responses are defined.</t>
  </si>
  <si>
    <t>TASK-012-FE</t>
  </si>
  <si>
    <t>Build the mobile user flow to create a publisher record.</t>
  </si>
  <si>
    <t>Publisher name is required The user can complete the flow with loading, empty, validation and error states.</t>
  </si>
  <si>
    <t>TASK-012-TEST</t>
  </si>
  <si>
    <t>Automate acceptance coverage for the ability to create a publisher record.</t>
  </si>
  <si>
    <t>Publisher name is required Happy paths, validation, authorization and failure paths are repeatable.</t>
  </si>
  <si>
    <t>TASK-012-DB, TASK-012-BE, TASK-012-FE</t>
  </si>
  <si>
    <t>TASK-013-DB</t>
  </si>
  <si>
    <t>Model and persist the data required to create a book/work record.</t>
  </si>
  <si>
    <t>Title is required Schema, relationships, constraints and migrations support the story safely.</t>
  </si>
  <si>
    <t>TASK-013-BE</t>
  </si>
  <si>
    <t>Implement the API and application behavior to create a book/work record.</t>
  </si>
  <si>
    <t>Title is required Authorization, validation, success and failure responses are defined.</t>
  </si>
  <si>
    <t>TASK-013-FE</t>
  </si>
  <si>
    <t>Build the mobile user flow to create a book/work record.</t>
  </si>
  <si>
    <t>Title is required The user can complete the flow with loading, empty, validation and error states.</t>
  </si>
  <si>
    <t>TASK-013-TEST</t>
  </si>
  <si>
    <t>Automate acceptance coverage for the ability to create a book/work record.</t>
  </si>
  <si>
    <t>Title is required Happy paths, validation, authorization and failure paths are repeatable.</t>
  </si>
  <si>
    <t>TASK-013-DB, TASK-013-BE, TASK-013-FE</t>
  </si>
  <si>
    <t>TASK-014-DB</t>
  </si>
  <si>
    <t>Model and persist the data required to associate one or more authors with a book.</t>
  </si>
  <si>
    <t>Existing authors can be linked to a book Schema, relationships, constraints and migrations support the story safely.</t>
  </si>
  <si>
    <t>TASK-014-BE</t>
  </si>
  <si>
    <t>Implement the API and application behavior to associate one or more authors with a book.</t>
  </si>
  <si>
    <t>Existing authors can be linked to a book Authorization, validation, success and failure responses are defined.</t>
  </si>
  <si>
    <t>TASK-014-FE</t>
  </si>
  <si>
    <t>Build the mobile user flow to associate one or more authors with a book.</t>
  </si>
  <si>
    <t>Existing authors can be linked to a book The user can complete the flow with loading, empty, validation and error states.</t>
  </si>
  <si>
    <t>TASK-014-TEST</t>
  </si>
  <si>
    <t>Automate acceptance coverage for the ability to associate one or more authors with a book.</t>
  </si>
  <si>
    <t>Existing authors can be linked to a book Happy paths, validation, authorization and failure paths are repeatable.</t>
  </si>
  <si>
    <t>TASK-014-DB, TASK-014-BE, TASK-014-FE</t>
  </si>
  <si>
    <t>TASK-015-DB</t>
  </si>
  <si>
    <t>Model and persist the data required to create an edition for a book.</t>
  </si>
  <si>
    <t>Edition references an existing book Schema, relationships, constraints and migrations support the story safely.</t>
  </si>
  <si>
    <t>TASK-015-BE</t>
  </si>
  <si>
    <t>Implement the API and application behavior to create an edition for a book.</t>
  </si>
  <si>
    <t>Edition references an existing book Authorization, validation, success and failure responses are defined.</t>
  </si>
  <si>
    <t>TASK-015-FE</t>
  </si>
  <si>
    <t>Build the mobile user flow to create an edition for a book.</t>
  </si>
  <si>
    <t>Edition references an existing book The user can complete the flow with loading, empty, validation and error states.</t>
  </si>
  <si>
    <t>TASK-015-TEST</t>
  </si>
  <si>
    <t>Automate acceptance coverage for the ability to create an edition for a book.</t>
  </si>
  <si>
    <t>Edition references an existing book Happy paths, validation, authorization and failure paths are repeatable.</t>
  </si>
  <si>
    <t>TASK-015-DB, TASK-015-BE, TASK-015-FE</t>
  </si>
  <si>
    <t>TASK-016-DB</t>
  </si>
  <si>
    <t>Model and persist the data required to view book and edition details.</t>
  </si>
  <si>
    <t>Book title and authors are shown Schema, relationships, constraints and migrations support the story safely.</t>
  </si>
  <si>
    <t>TASK-016-BE</t>
  </si>
  <si>
    <t>Implement the API and application behavior to view book and edition details.</t>
  </si>
  <si>
    <t>Book title and authors are shown Authorization, validation, success and failure responses are defined.</t>
  </si>
  <si>
    <t>TASK-016-FE</t>
  </si>
  <si>
    <t>Build the mobile user flow to view book and edition details.</t>
  </si>
  <si>
    <t>Book title and authors are shown The user can complete the flow with loading, empty, validation and error states.</t>
  </si>
  <si>
    <t>TASK-016-TEST</t>
  </si>
  <si>
    <t>Automate acceptance coverage for the ability to view book and edition details.</t>
  </si>
  <si>
    <t>Book title and authors are shown Happy paths, validation, authorization and failure paths are repeatable.</t>
  </si>
  <si>
    <t>TASK-016-DB, TASK-016-BE, TASK-016-FE</t>
  </si>
  <si>
    <t>TASK-017-DB</t>
  </si>
  <si>
    <t>Model and persist the data required to add a book copy manually to my library.</t>
  </si>
  <si>
    <t>User selects or creates the correct book edition Schema, relationships, constraints and migrations support the story safely.</t>
  </si>
  <si>
    <t>TASK-017-BE</t>
  </si>
  <si>
    <t>Implement the API and application behavior to add a book copy manually to my library.</t>
  </si>
  <si>
    <t>User selects or creates the correct book edition Authorization, validation, success and failure responses are defined.</t>
  </si>
  <si>
    <t>TASK-017-FE</t>
  </si>
  <si>
    <t>Build the mobile user flow to add a book copy manually to my library.</t>
  </si>
  <si>
    <t>User selects or creates the correct book edition The user can complete the flow with loading, empty, validation and error states.</t>
  </si>
  <si>
    <t>TASK-017-TEST</t>
  </si>
  <si>
    <t>Automate acceptance coverage for the ability to add a book copy manually to my library.</t>
  </si>
  <si>
    <t>User selects or creates the correct book edition Happy paths, validation, authorization and failure paths are repeatable.</t>
  </si>
  <si>
    <t>TASK-017-DB, TASK-017-BE, TASK-017-FE</t>
  </si>
  <si>
    <t>TASK-018-DB</t>
  </si>
  <si>
    <t>Model and persist the data required to add multiple copies of the same edition.</t>
  </si>
  <si>
    <t>Adding an already-owned edition is allowed Schema, relationships, constraints and migrations support the story safely.</t>
  </si>
  <si>
    <t>TASK-018-BE</t>
  </si>
  <si>
    <t>Implement the API and application behavior to add multiple copies of the same edition.</t>
  </si>
  <si>
    <t>Adding an already-owned edition is allowed Authorization, validation, success and failure responses are defined.</t>
  </si>
  <si>
    <t>TASK-018-FE</t>
  </si>
  <si>
    <t>Build the mobile user flow to add multiple copies of the same edition.</t>
  </si>
  <si>
    <t>Adding an already-owned edition is allowed The user can complete the flow with loading, empty, validation and error states.</t>
  </si>
  <si>
    <t>TASK-018-TEST</t>
  </si>
  <si>
    <t>Automate acceptance coverage for the ability to add multiple copies of the same edition.</t>
  </si>
  <si>
    <t>Adding an already-owned edition is allowed Happy paths, validation, authorization and failure paths are repeatable.</t>
  </si>
  <si>
    <t>TASK-018-DB, TASK-018-BE, TASK-018-FE</t>
  </si>
  <si>
    <t>TASK-019-DB</t>
  </si>
  <si>
    <t>Model and persist the data required to view the books in a selected library.</t>
  </si>
  <si>
    <t>Only copies from the requested library are returned Schema, relationships, constraints and migrations support the story safely.</t>
  </si>
  <si>
    <t>TASK-019-BE</t>
  </si>
  <si>
    <t>Implement the API and application behavior to view the books in a selected library.</t>
  </si>
  <si>
    <t>Only copies from the requested library are returned Authorization, validation, success and failure responses are defined.</t>
  </si>
  <si>
    <t>TASK-019-FE</t>
  </si>
  <si>
    <t>Build the mobile user flow to view the books in a selected library.</t>
  </si>
  <si>
    <t>Only copies from the requested library are returned The user can complete the flow with loading, empty, validation and error states.</t>
  </si>
  <si>
    <t>TASK-019-TEST</t>
  </si>
  <si>
    <t>Automate acceptance coverage for the ability to view the books in a selected library.</t>
  </si>
  <si>
    <t>Only copies from the requested library are returned Happy paths, validation, authorization and failure paths are repeatable.</t>
  </si>
  <si>
    <t>TASK-019-DB, TASK-019-BE, TASK-019-FE</t>
  </si>
  <si>
    <t>TASK-020-DB</t>
  </si>
  <si>
    <t>Model and persist the data required to submit an ISBN-10 or ISBN-13.</t>
  </si>
  <si>
    <t>ISBN format and checksum are validated Schema, relationships, constraints and migrations support the story safely.</t>
  </si>
  <si>
    <t>TASK-020-BE</t>
  </si>
  <si>
    <t>Implement the API and application behavior to submit an ISBN-10 or ISBN-13.</t>
  </si>
  <si>
    <t>ISBN format and checksum are validated Authorization, validation, success and failure responses are defined.</t>
  </si>
  <si>
    <t>TASK-020-FE</t>
  </si>
  <si>
    <t>Build the mobile user flow to submit an ISBN-10 or ISBN-13.</t>
  </si>
  <si>
    <t>ISBN format and checksum are validated The user can complete the flow with loading, empty, validation and error states.</t>
  </si>
  <si>
    <t>TASK-020-TEST</t>
  </si>
  <si>
    <t>Automate acceptance coverage for the ability to submit an ISBN-10 or ISBN-13.</t>
  </si>
  <si>
    <t>ISBN format and checksum are validated Happy paths, validation, authorization and failure paths are repeatable.</t>
  </si>
  <si>
    <t>TASK-020-DB, TASK-020-BE, TASK-020-FE</t>
  </si>
  <si>
    <t>TASK-021-BE</t>
  </si>
  <si>
    <t>Implement the API and application behavior to look up an ISBN in the local catalogue first.</t>
  </si>
  <si>
    <t>Local editions are searched using normalized ISBN Authorization, validation, success and failure responses are defined.</t>
  </si>
  <si>
    <t>TASK-021-TEST</t>
  </si>
  <si>
    <t>Automate acceptance coverage for the ability to look up an ISBN in the local catalogue first.</t>
  </si>
  <si>
    <t>Local editions are searched using normalized ISBN Happy paths, validation, authorization and failure paths are repeatable.</t>
  </si>
  <si>
    <t>Covered by current unit or architecture tests.</t>
  </si>
  <si>
    <t>TASK-022-BE</t>
  </si>
  <si>
    <t>Implement the API and application behavior to retrieve book metadata from Open Library.</t>
  </si>
  <si>
    <t>Open Library lookup is attempted for unknown ISBN Authorization, validation, success and failure responses are defined.</t>
  </si>
  <si>
    <t>TASK-022-FE</t>
  </si>
  <si>
    <t>Build the mobile user flow to retrieve book metadata from Open Library.</t>
  </si>
  <si>
    <t>Open Library lookup is attempted for unknown ISBN The user can complete the flow with loading, empty, validation and error states.</t>
  </si>
  <si>
    <t>TASK-022-TEST</t>
  </si>
  <si>
    <t>Automate acceptance coverage for the ability to retrieve book metadata from Open Library.</t>
  </si>
  <si>
    <t>Open Library lookup is attempted for unknown ISBN Happy paths, validation, authorization and failure paths are repeatable.</t>
  </si>
  <si>
    <t>TASK-022-BE, TASK-022-FE</t>
  </si>
  <si>
    <t>TASK-023-BE</t>
  </si>
  <si>
    <t>Implement the API and application behavior to receive consistent metadata from different providers.</t>
  </si>
  <si>
    <t>Provider responses map to Book, Author, Edition and Publisher fields Authorization, validation, success and failure responses are defined.</t>
  </si>
  <si>
    <t>TASK-023-TEST</t>
  </si>
  <si>
    <t>Automate acceptance coverage for the ability to receive consistent metadata from different providers.</t>
  </si>
  <si>
    <t>Provider responses map to Book, Author, Edition and Publisher fields Happy paths, validation, authorization and failure paths are repeatable.</t>
  </si>
  <si>
    <t>TASK-024-INFRA</t>
  </si>
  <si>
    <t>Infrastructure</t>
  </si>
  <si>
    <t>Provide the infrastructure needed to use a fallback metadata provider when the primary source fails.</t>
  </si>
  <si>
    <t>Providers use a common interface Configuration, timeout/failure behavior and local development setup are documented.</t>
  </si>
  <si>
    <t>TASK-024-BE</t>
  </si>
  <si>
    <t>Implement the API and application behavior to use a fallback metadata provider when the primary source fails.</t>
  </si>
  <si>
    <t>Providers use a common interface Authorization, validation, success and failure responses are defined.</t>
  </si>
  <si>
    <t>TASK-024-TEST</t>
  </si>
  <si>
    <t>Automate acceptance coverage for the ability to use a fallback metadata provider when the primary source fails.</t>
  </si>
  <si>
    <t>Providers use a common interface Happy paths, validation, authorization and failure paths are repeatable.</t>
  </si>
  <si>
    <t>TASK-024-INFRA, TASK-024-BE</t>
  </si>
  <si>
    <t>TASK-025-BE</t>
  </si>
  <si>
    <t>Implement the API and application behavior to preview identified book information before saving.</t>
  </si>
  <si>
    <t>Preview includes available title, authors, edition and publisher Authorization, validation, success and failure responses are defined.</t>
  </si>
  <si>
    <t>TASK-025-FE</t>
  </si>
  <si>
    <t>Build the mobile user flow to preview identified book information before saving.</t>
  </si>
  <si>
    <t>Preview includes available title, authors, edition and publisher The user can complete the flow with loading, empty, validation and error states.</t>
  </si>
  <si>
    <t>TASK-025-TEST</t>
  </si>
  <si>
    <t>Automate acceptance coverage for the ability to preview identified book information before saving.</t>
  </si>
  <si>
    <t>Preview includes available title, authors, edition and publisher Happy paths, validation, authorization and failure paths are repeatable.</t>
  </si>
  <si>
    <t>TASK-025-BE, TASK-025-FE</t>
  </si>
  <si>
    <t>TASK-026-BE</t>
  </si>
  <si>
    <t>Implement the API and application behavior to be warned if I already own the exact edition.</t>
  </si>
  <si>
    <t>ISBN resolves to the edition Authorization, validation, success and failure responses are defined.</t>
  </si>
  <si>
    <t>TASK-026-FE</t>
  </si>
  <si>
    <t>Build the mobile user flow to be warned if I already own the exact edition.</t>
  </si>
  <si>
    <t>ISBN resolves to the edition The user can complete the flow with loading, empty, validation and error states.</t>
  </si>
  <si>
    <t>TASK-026-TEST</t>
  </si>
  <si>
    <t>Automate acceptance coverage for the ability to be warned if I already own the exact edition.</t>
  </si>
  <si>
    <t>ISBN resolves to the edition Happy paths, validation, authorization and failure paths are repeatable.</t>
  </si>
  <si>
    <t>TASK-026-BE, TASK-026-FE</t>
  </si>
  <si>
    <t>TASK-027-BE</t>
  </si>
  <si>
    <t>Implement the API and application behavior to know if I own a different edition of the same book.</t>
  </si>
  <si>
    <t>Other editions are matched through their BookId Authorization, validation, success and failure responses are defined.</t>
  </si>
  <si>
    <t>TASK-027-FE</t>
  </si>
  <si>
    <t>Build the mobile user flow to know if I own a different edition of the same book.</t>
  </si>
  <si>
    <t>Other editions are matched through their BookId The user can complete the flow with loading, empty, validation and error states.</t>
  </si>
  <si>
    <t>TASK-027-TEST</t>
  </si>
  <si>
    <t>Automate acceptance coverage for the ability to know if I own a different edition of the same book.</t>
  </si>
  <si>
    <t>Other editions are matched through their BookId Happy paths, validation, authorization and failure paths are repeatable.</t>
  </si>
  <si>
    <t>TASK-027-BE, TASK-027-FE</t>
  </si>
  <si>
    <t>TASK-028-BE</t>
  </si>
  <si>
    <t>Implement the API and application behavior to see when a book is not owned.</t>
  </si>
  <si>
    <t>No matching library copy returns not-owned status Authorization, validation, success and failure responses are defined.</t>
  </si>
  <si>
    <t>TASK-028-FE</t>
  </si>
  <si>
    <t>Build the mobile user flow to see when a book is not owned.</t>
  </si>
  <si>
    <t>No matching library copy returns not-owned status The user can complete the flow with loading, empty, validation and error states.</t>
  </si>
  <si>
    <t>TASK-028-TEST</t>
  </si>
  <si>
    <t>Automate acceptance coverage for the ability to see when a book is not owned.</t>
  </si>
  <si>
    <t>No matching library copy returns not-owned status Happy paths, validation, authorization and failure paths are repeatable.</t>
  </si>
  <si>
    <t>TASK-028-BE, TASK-028-FE</t>
  </si>
  <si>
    <t>TASK-029-DB</t>
  </si>
  <si>
    <t>Model and persist the data required to confirm an ISBN lookup and add that edition to my library.</t>
  </si>
  <si>
    <t>Existing catalogue entities are reused Schema, relationships, constraints and migrations support the story safely.</t>
  </si>
  <si>
    <t>TASK-029-BE</t>
  </si>
  <si>
    <t>Implement the API and application behavior to confirm an ISBN lookup and add that edition to my library.</t>
  </si>
  <si>
    <t>Existing catalogue entities are reused Authorization, validation, success and failure responses are defined.</t>
  </si>
  <si>
    <t>TASK-029-FE</t>
  </si>
  <si>
    <t>Build the mobile user flow to confirm an ISBN lookup and add that edition to my library.</t>
  </si>
  <si>
    <t>Existing catalogue entities are reused The user can complete the flow with loading, empty, validation and error states.</t>
  </si>
  <si>
    <t>TASK-029-TEST</t>
  </si>
  <si>
    <t>Automate acceptance coverage for the ability to confirm an ISBN lookup and add that edition to my library.</t>
  </si>
  <si>
    <t>Existing catalogue entities are reused Happy paths, validation, authorization and failure paths are repeatable.</t>
  </si>
  <si>
    <t>TASK-029-DB, TASK-029-BE, TASK-029-FE</t>
  </si>
  <si>
    <t>TASK-030-DB</t>
  </si>
  <si>
    <t>Model and persist the data required to manually complete a book when ISBN lookup fails.</t>
  </si>
  <si>
    <t>No-result response offers manual entry Schema, relationships, constraints and migrations support the story safely.</t>
  </si>
  <si>
    <t>TASK-030-BE</t>
  </si>
  <si>
    <t>Implement the API and application behavior to manually complete a book when ISBN lookup fails.</t>
  </si>
  <si>
    <t>No-result response offers manual entry Authorization, validation, success and failure responses are defined.</t>
  </si>
  <si>
    <t>TASK-030-FE</t>
  </si>
  <si>
    <t>Build the mobile user flow to manually complete a book when ISBN lookup fails.</t>
  </si>
  <si>
    <t>No-result response offers manual entry The user can complete the flow with loading, empty, validation and error states.</t>
  </si>
  <si>
    <t>TASK-030-TEST</t>
  </si>
  <si>
    <t>Automate acceptance coverage for the ability to manually complete a book when ISBN lookup fails.</t>
  </si>
  <si>
    <t>No-result response offers manual entry Happy paths, validation, authorization and failure paths are repeatable.</t>
  </si>
  <si>
    <t>TASK-030-DB, TASK-030-BE, TASK-030-FE</t>
  </si>
  <si>
    <t>TASK-031-FE</t>
  </si>
  <si>
    <t>Build the mobile user flow to register from the mobile app.</t>
  </si>
  <si>
    <t>Registration form validates inputs The user can complete the flow with loading, empty, validation and error states.</t>
  </si>
  <si>
    <t>TASK-031-INT</t>
  </si>
  <si>
    <t>API Integration</t>
  </si>
  <si>
    <t>Connect the mobile app to the API so users can register from the mobile app.</t>
  </si>
  <si>
    <t>Registration form validates inputs Requests, authentication, errors and returned state are handled in the app.</t>
  </si>
  <si>
    <t>TASK-031-TEST</t>
  </si>
  <si>
    <t>Automate acceptance coverage for the ability to register from the mobile app.</t>
  </si>
  <si>
    <t>Registration form validates inputs Happy paths, validation, authorization and failure paths are repeatable.</t>
  </si>
  <si>
    <t>TASK-031-FE, TASK-031-INT</t>
  </si>
  <si>
    <t>TASK-032-FE</t>
  </si>
  <si>
    <t>Build the mobile user flow to log in from the mobile app.</t>
  </si>
  <si>
    <t>Login form calls the API The user can complete the flow with loading, empty, validation and error states.</t>
  </si>
  <si>
    <t>TASK-032-INT</t>
  </si>
  <si>
    <t>Connect the mobile app to the API so users can log in from the mobile app.</t>
  </si>
  <si>
    <t>Login form calls the API Requests, authentication, errors and returned state are handled in the app.</t>
  </si>
  <si>
    <t>TASK-032-TEST</t>
  </si>
  <si>
    <t>Automate acceptance coverage for the ability to log in from the mobile app.</t>
  </si>
  <si>
    <t>Login form calls the API Happy paths, validation, authorization and failure paths are repeatable.</t>
  </si>
  <si>
    <t>TASK-032-FE, TASK-032-INT</t>
  </si>
  <si>
    <t>TASK-033-FE</t>
  </si>
  <si>
    <t>Build the mobile user flow to see a home screen with my libraries.</t>
  </si>
  <si>
    <t>Home lists accessible libraries The user can complete the flow with loading, empty, validation and error states.</t>
  </si>
  <si>
    <t>TASK-033-INT</t>
  </si>
  <si>
    <t>Connect the mobile app to the API so users can see a home screen with my libraries.</t>
  </si>
  <si>
    <t>Home lists accessible libraries Requests, authentication, errors and returned state are handled in the app.</t>
  </si>
  <si>
    <t>TASK-033-TEST</t>
  </si>
  <si>
    <t>Automate acceptance coverage for the ability to see a home screen with my libraries.</t>
  </si>
  <si>
    <t>Home lists accessible libraries Happy paths, validation, authorization and failure paths are repeatable.</t>
  </si>
  <si>
    <t>TASK-033-FE, TASK-033-INT</t>
  </si>
  <si>
    <t>TASK-034-FE</t>
  </si>
  <si>
    <t>Build the mobile user flow to browse my library on mobile.</t>
  </si>
  <si>
    <t>Library screen lists copies/books The user can complete the flow with loading, empty, validation and error states.</t>
  </si>
  <si>
    <t>TASK-034-INT</t>
  </si>
  <si>
    <t>Connect the mobile app to the API so users can browse my library on mobile.</t>
  </si>
  <si>
    <t>Library screen lists copies/books Requests, authentication, errors and returned state are handled in the app.</t>
  </si>
  <si>
    <t>TASK-034-TEST</t>
  </si>
  <si>
    <t>Automate acceptance coverage for the ability to browse my library on mobile.</t>
  </si>
  <si>
    <t>Library screen lists copies/books Happy paths, validation, authorization and failure paths are repeatable.</t>
  </si>
  <si>
    <t>TASK-034-FE, TASK-034-INT</t>
  </si>
  <si>
    <t>TASK-035-FE</t>
  </si>
  <si>
    <t>Build the mobile user flow to scan a book barcode with my phone.</t>
  </si>
  <si>
    <t>Camera permission is handled The user can complete the flow with loading, empty, validation and error states.</t>
  </si>
  <si>
    <t>TASK-035-INT</t>
  </si>
  <si>
    <t>Connect the mobile app to the API so users can scan a book barcode with my phone.</t>
  </si>
  <si>
    <t>Camera permission is handled Requests, authentication, errors and returned state are handled in the app.</t>
  </si>
  <si>
    <t>TASK-035-TEST</t>
  </si>
  <si>
    <t>Automate acceptance coverage for the ability to scan a book barcode with my phone.</t>
  </si>
  <si>
    <t>Camera permission is handled Happy paths, validation, authorization and failure paths are repeatable.</t>
  </si>
  <si>
    <t>TASK-035-FE, TASK-035-INT</t>
  </si>
  <si>
    <t>TASK-036-FE</t>
  </si>
  <si>
    <t>Build the mobile user flow to review a book lookup result.</t>
  </si>
  <si>
    <t>Lookup screen displays available metadata The user can complete the flow with loading, empty, validation and error states.</t>
  </si>
  <si>
    <t>TASK-036-INT</t>
  </si>
  <si>
    <t>Connect the mobile app to the API so users can review a book lookup result.</t>
  </si>
  <si>
    <t>Lookup screen displays available metadata Requests, authentication, errors and returned state are handled in the app.</t>
  </si>
  <si>
    <t>TASK-036-TEST</t>
  </si>
  <si>
    <t>Automate acceptance coverage for the ability to review a book lookup result.</t>
  </si>
  <si>
    <t>Lookup screen displays available metadata Happy paths, validation, authorization and failure paths are repeatable.</t>
  </si>
  <si>
    <t>TASK-036-FE, TASK-036-INT</t>
  </si>
  <si>
    <t>TASK-037-FE</t>
  </si>
  <si>
    <t>Build the mobile user flow to view book and copy details.</t>
  </si>
  <si>
    <t>Book details show authors and edition The user can complete the flow with loading, empty, validation and error states.</t>
  </si>
  <si>
    <t>TASK-037-INT</t>
  </si>
  <si>
    <t>Connect the mobile app to the API so users can view book and copy details.</t>
  </si>
  <si>
    <t>Book details show authors and edition Requests, authentication, errors and returned state are handled in the app.</t>
  </si>
  <si>
    <t>TASK-037-TEST</t>
  </si>
  <si>
    <t>Automate acceptance coverage for the ability to view book and copy details.</t>
  </si>
  <si>
    <t>Book details show authors and edition Happy paths, validation, authorization and failure paths are repeatable.</t>
  </si>
  <si>
    <t>TASK-037-FE, TASK-037-INT</t>
  </si>
  <si>
    <t>TASK-038-FE</t>
  </si>
  <si>
    <t>Build the mobile user flow to add a book from the mobile app.</t>
  </si>
  <si>
    <t>User can confirm ISBN result or enter details manually The user can complete the flow with loading, empty, validation and error states.</t>
  </si>
  <si>
    <t>TASK-038-INT</t>
  </si>
  <si>
    <t>Connect the mobile app to the API so users can add a book from the mobile app.</t>
  </si>
  <si>
    <t>User can confirm ISBN result or enter details manually Requests, authentication, errors and returned state are handled in the app.</t>
  </si>
  <si>
    <t>TASK-038-TEST</t>
  </si>
  <si>
    <t>Automate acceptance coverage for the ability to add a book from the mobile app.</t>
  </si>
  <si>
    <t>User can confirm ISBN result or enter details manually Happy paths, validation, authorization and failure paths are repeatable.</t>
  </si>
  <si>
    <t>TASK-038-FE, TASK-038-INT</t>
  </si>
  <si>
    <t>TASK-039-BE</t>
  </si>
  <si>
    <t>Implement the API and application behavior to search my collection by title.</t>
  </si>
  <si>
    <t>Search is scoped to selected library Authorization, validation, success and failure responses are defined.</t>
  </si>
  <si>
    <t>TASK-039-FE</t>
  </si>
  <si>
    <t>Build the mobile user flow to search my collection by title.</t>
  </si>
  <si>
    <t>Search is scoped to selected library The user can complete the flow with loading, empty, validation and error states.</t>
  </si>
  <si>
    <t>TASK-039-TEST</t>
  </si>
  <si>
    <t>Automate acceptance coverage for the ability to search my collection by title.</t>
  </si>
  <si>
    <t>Search is scoped to selected library Happy paths, validation, authorization and failure paths are repeatable.</t>
  </si>
  <si>
    <t>TASK-039-BE, TASK-039-FE</t>
  </si>
  <si>
    <t>TASK-040-BE</t>
  </si>
  <si>
    <t>Implement the API and application behavior to search my collection by author.</t>
  </si>
  <si>
    <t>Author-name matches are supported Authorization, validation, success and failure responses are defined.</t>
  </si>
  <si>
    <t>TASK-040-FE</t>
  </si>
  <si>
    <t>Build the mobile user flow to search my collection by author.</t>
  </si>
  <si>
    <t>Author-name matches are supported The user can complete the flow with loading, empty, validation and error states.</t>
  </si>
  <si>
    <t>TASK-040-TEST</t>
  </si>
  <si>
    <t>Automate acceptance coverage for the ability to search my collection by author.</t>
  </si>
  <si>
    <t>Author-name matches are supported Happy paths, validation, authorization and failure paths are repeatable.</t>
  </si>
  <si>
    <t>TASK-040-BE, TASK-040-FE</t>
  </si>
  <si>
    <t>TASK-041-BE</t>
  </si>
  <si>
    <t>Implement the API and application behavior to search my collection by ISBN.</t>
  </si>
  <si>
    <t>ISBN is matched against edition identifiers Authorization, validation, success and failure responses are defined.</t>
  </si>
  <si>
    <t>TASK-041-FE</t>
  </si>
  <si>
    <t>Build the mobile user flow to search my collection by ISBN.</t>
  </si>
  <si>
    <t>ISBN is matched against edition identifiers The user can complete the flow with loading, empty, validation and error states.</t>
  </si>
  <si>
    <t>TASK-041-TEST</t>
  </si>
  <si>
    <t>Automate acceptance coverage for the ability to search my collection by ISBN.</t>
  </si>
  <si>
    <t>ISBN is matched against edition identifiers Happy paths, validation, authorization and failure paths are repeatable.</t>
  </si>
  <si>
    <t>TASK-041-BE, TASK-041-FE</t>
  </si>
  <si>
    <t>TASK-042-BE</t>
  </si>
  <si>
    <t>Implement the API and application behavior to filter my books by format and reading status.</t>
  </si>
  <si>
    <t>Format filter works Authorization, validation, success and failure responses are defined.</t>
  </si>
  <si>
    <t>TASK-042-FE</t>
  </si>
  <si>
    <t>Build the mobile user flow to filter my books by format and reading status.</t>
  </si>
  <si>
    <t>Format filter works The user can complete the flow with loading, empty, validation and error states.</t>
  </si>
  <si>
    <t>TASK-042-TEST</t>
  </si>
  <si>
    <t>Automate acceptance coverage for the ability to filter my books by format and reading status.</t>
  </si>
  <si>
    <t>Format filter works Happy paths, validation, authorization and failure paths are repeatable.</t>
  </si>
  <si>
    <t>TASK-042-BE, TASK-042-FE</t>
  </si>
  <si>
    <t>TASK-043-DB</t>
  </si>
  <si>
    <t>Model and persist the data required to update my copy’s reading status.</t>
  </si>
  <si>
    <t>Unread, Reading, Read, OnHold and Abandoned are supported Schema, relationships, constraints and migrations support the story safely.</t>
  </si>
  <si>
    <t>TASK-043-BE</t>
  </si>
  <si>
    <t>Implement the API and application behavior to update my copy’s reading status.</t>
  </si>
  <si>
    <t>Unread, Reading, Read, OnHold and Abandoned are supported Authorization, validation, success and failure responses are defined.</t>
  </si>
  <si>
    <t>TASK-043-FE</t>
  </si>
  <si>
    <t>Build the mobile user flow to update my copy’s reading status.</t>
  </si>
  <si>
    <t>Unread, Reading, Read, OnHold and Abandoned are supported The user can complete the flow with loading, empty, validation and error states.</t>
  </si>
  <si>
    <t>TASK-043-TEST</t>
  </si>
  <si>
    <t>Automate acceptance coverage for the ability to update my copy’s reading status.</t>
  </si>
  <si>
    <t>Unread, Reading, Read, OnHold and Abandoned are supported Happy paths, validation, authorization and failure paths are repeatable.</t>
  </si>
  <si>
    <t>TASK-043-DB, TASK-043-BE, TASK-043-FE</t>
  </si>
  <si>
    <t>TASK-044-DB</t>
  </si>
  <si>
    <t>Model and persist the data required to create and assign library locations.</t>
  </si>
  <si>
    <t>Location belongs to one library Schema, relationships, constraints and migrations support the story safely.</t>
  </si>
  <si>
    <t>TASK-044-BE</t>
  </si>
  <si>
    <t>Implement the API and application behavior to create and assign library locations.</t>
  </si>
  <si>
    <t>Location belongs to one library Authorization, validation, success and failure responses are defined.</t>
  </si>
  <si>
    <t>TASK-044-FE</t>
  </si>
  <si>
    <t>Build the mobile user flow to create and assign library locations.</t>
  </si>
  <si>
    <t>Location belongs to one library The user can complete the flow with loading, empty, validation and error states.</t>
  </si>
  <si>
    <t>TASK-044-TEST</t>
  </si>
  <si>
    <t>Automate acceptance coverage for the ability to create and assign library locations.</t>
  </si>
  <si>
    <t>Location belongs to one library Happy paths, validation, authorization and failure paths are repeatable.</t>
  </si>
  <si>
    <t>TASK-044-DB, TASK-044-BE, TASK-044-FE</t>
  </si>
  <si>
    <t>TASK-045-DB</t>
  </si>
  <si>
    <t>Model and persist the data required to edit the details of an owned copy.</t>
  </si>
  <si>
    <t>Format, reading status, condition, acquisition date, purchase price/currency, signed/favourite flags, location and notes can be updated Schema, relationships, constraints and migrations support the story safely.</t>
  </si>
  <si>
    <t>TASK-045-BE</t>
  </si>
  <si>
    <t>Implement the API and application behavior to edit the details of an owned copy.</t>
  </si>
  <si>
    <t>Format, reading status, condition, acquisition date, purchase price/currency, signed/favourite flags, location and notes can be updated Authorization, validation, success and failure responses are defined.</t>
  </si>
  <si>
    <t>TASK-045-FE</t>
  </si>
  <si>
    <t>Build the mobile user flow to edit the details of an owned copy.</t>
  </si>
  <si>
    <t>Format, reading status, condition, acquisition date, purchase price/currency, signed/favourite flags, location and notes can be updated The user can complete the flow with loading, empty, validation and error states.</t>
  </si>
  <si>
    <t>TASK-045-TEST</t>
  </si>
  <si>
    <t>Automate acceptance coverage for the ability to edit the details of an owned copy.</t>
  </si>
  <si>
    <t>Format, reading status, condition, acquisition date, purchase price/currency, signed/favourite flags, location and notes can be updated Happy paths, validation, authorization and failure paths are repeatable.</t>
  </si>
  <si>
    <t>TASK-045-DB, TASK-045-BE, TASK-045-FE</t>
  </si>
  <si>
    <t>TASK-046-DB</t>
  </si>
  <si>
    <t>Model and persist the data required to remove a copy from my library.</t>
  </si>
  <si>
    <t>Only targeted copy is removed Schema, relationships, constraints and migrations support the story safely.</t>
  </si>
  <si>
    <t>TASK-046-BE</t>
  </si>
  <si>
    <t>Implement the API and application behavior to remove a copy from my library.</t>
  </si>
  <si>
    <t>Only targeted copy is removed Authorization, validation, success and failure responses are defined.</t>
  </si>
  <si>
    <t>TASK-046-FE</t>
  </si>
  <si>
    <t>Build the mobile user flow to remove a copy from my library.</t>
  </si>
  <si>
    <t>Only targeted copy is removed The user can complete the flow with loading, empty, validation and error states.</t>
  </si>
  <si>
    <t>TASK-046-TEST</t>
  </si>
  <si>
    <t>Automate acceptance coverage for the ability to remove a copy from my library.</t>
  </si>
  <si>
    <t>Only targeted copy is removed Happy paths, validation, authorization and failure paths are repeatable.</t>
  </si>
  <si>
    <t>TASK-046-DB, TASK-046-BE, TASK-046-FE</t>
  </si>
  <si>
    <t>TASK-047-BE</t>
  </si>
  <si>
    <t>Implement the API and application behavior to browse a large library in pages.</t>
  </si>
  <si>
    <t>API accepts pagination parameters Authorization, validation, success and failure responses are defined.</t>
  </si>
  <si>
    <t>TASK-047-FE</t>
  </si>
  <si>
    <t>Build the mobile user flow to browse a large library in pages.</t>
  </si>
  <si>
    <t>API accepts pagination parameters The user can complete the flow with loading, empty, validation and error states.</t>
  </si>
  <si>
    <t>TASK-047-TEST</t>
  </si>
  <si>
    <t>Automate acceptance coverage for the ability to browse a large library in pages.</t>
  </si>
  <si>
    <t>API accepts pagination parameters Happy paths, validation, authorization and failure paths are repeatable.</t>
  </si>
  <si>
    <t>TASK-047-BE, TASK-047-FE</t>
  </si>
  <si>
    <t>TASK-048-DB</t>
  </si>
  <si>
    <t>Model and persist the data required to scan multiple ISBNs in one session.</t>
  </si>
  <si>
    <t>Multiple scans are collected into a batch Schema, relationships, constraints and migrations support the story safely.</t>
  </si>
  <si>
    <t>TASK-048-BE</t>
  </si>
  <si>
    <t>Implement the API and application behavior to scan multiple ISBNs in one session.</t>
  </si>
  <si>
    <t>Multiple scans are collected into a batch Authorization, validation, success and failure responses are defined.</t>
  </si>
  <si>
    <t>TASK-048-BG</t>
  </si>
  <si>
    <t>Background Processing</t>
  </si>
  <si>
    <t>Process background work needed to scan multiple ISBNs in one session.</t>
  </si>
  <si>
    <t>Multiple scans are collected into a batch Work is recoverable, observable and does not block unrelated items.</t>
  </si>
  <si>
    <t>TASK-048-FE</t>
  </si>
  <si>
    <t>Build the mobile user flow to scan multiple ISBNs in one session.</t>
  </si>
  <si>
    <t>Multiple scans are collected into a batch The user can complete the flow with loading, empty, validation and error states.</t>
  </si>
  <si>
    <t>TASK-048-TEST</t>
  </si>
  <si>
    <t>Automate acceptance coverage for the ability to scan multiple ISBNs in one session.</t>
  </si>
  <si>
    <t>Multiple scans are collected into a batch Happy paths, validation, authorization and failure paths are repeatable.</t>
  </si>
  <si>
    <t>TASK-048-DB, TASK-048-BE, TASK-048-BG, TASK-048-FE</t>
  </si>
  <si>
    <t>TASK-049-DB</t>
  </si>
  <si>
    <t>Model and persist the data required to review a batch before importing.</t>
  </si>
  <si>
    <t>Batch lists found, duplicate and failed items Schema, relationships, constraints and migrations support the story safely.</t>
  </si>
  <si>
    <t>TASK-049-BE</t>
  </si>
  <si>
    <t>Implement the API and application behavior to review a batch before importing.</t>
  </si>
  <si>
    <t>Batch lists found, duplicate and failed items Authorization, validation, success and failure responses are defined.</t>
  </si>
  <si>
    <t>TASK-049-BG</t>
  </si>
  <si>
    <t>Process background work needed to review a batch before importing.</t>
  </si>
  <si>
    <t>Batch lists found, duplicate and failed items Work is recoverable, observable and does not block unrelated items.</t>
  </si>
  <si>
    <t>TASK-049-FE</t>
  </si>
  <si>
    <t>Build the mobile user flow to review a batch before importing.</t>
  </si>
  <si>
    <t>Batch lists found, duplicate and failed items The user can complete the flow with loading, empty, validation and error states.</t>
  </si>
  <si>
    <t>TASK-049-TEST</t>
  </si>
  <si>
    <t>Automate acceptance coverage for the ability to review a batch before importing.</t>
  </si>
  <si>
    <t>Batch lists found, duplicate and failed items Happy paths, validation, authorization and failure paths are repeatable.</t>
  </si>
  <si>
    <t>TASK-049-DB, TASK-049-BE, TASK-049-BG, TASK-049-FE</t>
  </si>
  <si>
    <t>TASK-050-DB</t>
  </si>
  <si>
    <t>Model and persist the data required to import many editions as a batch.</t>
  </si>
  <si>
    <t>Import batch and item records are persisted Schema, relationships, constraints and migrations support the story safely.</t>
  </si>
  <si>
    <t>TASK-050-BE</t>
  </si>
  <si>
    <t>Implement the API and application behavior to import many editions as a batch.</t>
  </si>
  <si>
    <t>Import batch and item records are persisted Authorization, validation, success and failure responses are defined.</t>
  </si>
  <si>
    <t>TASK-050-BG</t>
  </si>
  <si>
    <t>Process background work needed to import many editions as a batch.</t>
  </si>
  <si>
    <t>Import batch and item records are persisted Work is recoverable, observable and does not block unrelated items.</t>
  </si>
  <si>
    <t>TASK-050-FE</t>
  </si>
  <si>
    <t>Build the mobile user flow to import many editions as a batch.</t>
  </si>
  <si>
    <t>Import batch and item records are persisted The user can complete the flow with loading, empty, validation and error states.</t>
  </si>
  <si>
    <t>TASK-050-TEST</t>
  </si>
  <si>
    <t>Automate acceptance coverage for the ability to import many editions as a batch.</t>
  </si>
  <si>
    <t>Import batch and item records are persisted Happy paths, validation, authorization and failure paths are repeatable.</t>
  </si>
  <si>
    <t>TASK-050-DB, TASK-050-BE, TASK-050-BG, TASK-050-FE</t>
  </si>
  <si>
    <t>TASK-051-DB</t>
  </si>
  <si>
    <t>Model and persist the data required to process large imports in the background.</t>
  </si>
  <si>
    <t>Processing does not require an open request Schema, relationships, constraints and migrations support the story safely.</t>
  </si>
  <si>
    <t>TASK-051-BE</t>
  </si>
  <si>
    <t>Implement the API and application behavior to process large imports in the background.</t>
  </si>
  <si>
    <t>Processing does not require an open request Authorization, validation, success and failure responses are defined.</t>
  </si>
  <si>
    <t>TASK-051-BG</t>
  </si>
  <si>
    <t>Process background work needed to process large imports in the background.</t>
  </si>
  <si>
    <t>Processing does not require an open request Work is recoverable, observable and does not block unrelated items.</t>
  </si>
  <si>
    <t>TASK-051-FE</t>
  </si>
  <si>
    <t>Build the mobile user flow to process large imports in the background.</t>
  </si>
  <si>
    <t>Processing does not require an open request The user can complete the flow with loading, empty, validation and error states.</t>
  </si>
  <si>
    <t>TASK-051-TEST</t>
  </si>
  <si>
    <t>Automate acceptance coverage for the ability to process large imports in the background.</t>
  </si>
  <si>
    <t>Processing does not require an open request Happy paths, validation, authorization and failure paths are repeatable.</t>
  </si>
  <si>
    <t>TASK-051-DB, TASK-051-BE, TASK-051-BG, TASK-051-FE</t>
  </si>
  <si>
    <t>TASK-052-DB</t>
  </si>
  <si>
    <t>Model and persist the data required to see a duplicate and failure summary after import.</t>
  </si>
  <si>
    <t>Counts of imported, duplicate and failed items are shown Schema, relationships, constraints and migrations support the story safely.</t>
  </si>
  <si>
    <t>TASK-052-BE</t>
  </si>
  <si>
    <t>Implement the API and application behavior to see a duplicate and failure summary after import.</t>
  </si>
  <si>
    <t>Counts of imported, duplicate and failed items are shown Authorization, validation, success and failure responses are defined.</t>
  </si>
  <si>
    <t>TASK-052-BG</t>
  </si>
  <si>
    <t>Process background work needed to see a duplicate and failure summary after import.</t>
  </si>
  <si>
    <t>Counts of imported, duplicate and failed items are shown Work is recoverable, observable and does not block unrelated items.</t>
  </si>
  <si>
    <t>TASK-052-FE</t>
  </si>
  <si>
    <t>Build the mobile user flow to see a duplicate and failure summary after import.</t>
  </si>
  <si>
    <t>Counts of imported, duplicate and failed items are shown The user can complete the flow with loading, empty, validation and error states.</t>
  </si>
  <si>
    <t>TASK-052-TEST</t>
  </si>
  <si>
    <t>Automate acceptance coverage for the ability to see a duplicate and failure summary after import.</t>
  </si>
  <si>
    <t>Counts of imported, duplicate and failed items are shown Happy paths, validation, authorization and failure paths are repeatable.</t>
  </si>
  <si>
    <t>TASK-052-DB, TASK-052-BE, TASK-052-BG, TASK-052-FE</t>
  </si>
  <si>
    <t>TASK-053-INFRA</t>
  </si>
  <si>
    <t>Provide the infrastructure needed to receive timely responses when a metadata provider is slow.</t>
  </si>
  <si>
    <t>External requests have timeouts Configuration, timeout/failure behavior and local development setup are documented.</t>
  </si>
  <si>
    <t>TASK-053-BE</t>
  </si>
  <si>
    <t>Implement the API and application behavior to receive timely responses when a metadata provider is slow.</t>
  </si>
  <si>
    <t>External requests have timeouts Authorization, validation, success and failure responses are defined.</t>
  </si>
  <si>
    <t>TASK-053-TEST</t>
  </si>
  <si>
    <t>Automate acceptance coverage for the ability to receive timely responses when a metadata provider is slow.</t>
  </si>
  <si>
    <t>External requests have timeouts Happy paths, validation, authorization and failure paths are repeatable.</t>
  </si>
  <si>
    <t>TASK-053-INFRA, TASK-053-BE</t>
  </si>
  <si>
    <t>TASK-054-INFRA</t>
  </si>
  <si>
    <t>Provide the infrastructure needed to benefit from cached metadata lookups.</t>
  </si>
  <si>
    <t>Redis caches appropriate lookup results Configuration, timeout/failure behavior and local development setup are documented.</t>
  </si>
  <si>
    <t>TASK-054-BE</t>
  </si>
  <si>
    <t>Implement the API and application behavior to benefit from cached metadata lookups.</t>
  </si>
  <si>
    <t>Redis caches appropriate lookup results Authorization, validation, success and failure responses are defined.</t>
  </si>
  <si>
    <t>TASK-054-TEST</t>
  </si>
  <si>
    <t>Automate acceptance coverage for the ability to benefit from cached metadata lookups.</t>
  </si>
  <si>
    <t>Redis caches appropriate lookup results Happy paths, validation, authorization and failure paths are repeatable.</t>
  </si>
  <si>
    <t>TASK-054-INFRA, TASK-054-BE</t>
  </si>
  <si>
    <t>TASK-055-OBS</t>
  </si>
  <si>
    <t>Observability</t>
  </si>
  <si>
    <t>Add logs and diagnostics needed to inspect structured application logs.</t>
  </si>
  <si>
    <t>Key request and import failures are logged Logs are structured, correlated and exclude credentials and tokens.</t>
  </si>
  <si>
    <t>TASK-055-TEST</t>
  </si>
  <si>
    <t>Automate acceptance coverage for the ability to inspect structured application logs.</t>
  </si>
  <si>
    <t>Key request and import failures are logged Happy paths, validation, authorization and failure paths are repeatable.</t>
  </si>
  <si>
    <t>TASK-056-OPS</t>
  </si>
  <si>
    <t>Add operational controls needed to check application health.</t>
  </si>
  <si>
    <t>Health endpoint is available Operators can detect and respond without exposing sensitive information.</t>
  </si>
  <si>
    <t>TASK-056-TEST</t>
  </si>
  <si>
    <t>Automate acceptance coverage for the ability to check application health.</t>
  </si>
  <si>
    <t>Health endpoint is available Happy paths, validation, authorization and failure paths are repeatable.</t>
  </si>
  <si>
    <t>TASK-057-TEST</t>
  </si>
  <si>
    <t>Automate acceptance coverage for the ability to run unit tests for core business rules.</t>
  </si>
  <si>
    <t>ISBN validation and duplicate states have tests Happy paths, validation, authorization and failure paths are repeatable.</t>
  </si>
  <si>
    <t>TASK-058-TEST</t>
  </si>
  <si>
    <t>Automate acceptance coverage for the ability to run integration tests for core API workflows.</t>
  </si>
  <si>
    <t>Auth and library API paths are tested Happy paths, validation, authorization and failure paths are repeatable.</t>
  </si>
  <si>
    <t>TASK-059-DEVOPS</t>
  </si>
  <si>
    <t>DevOps</t>
  </si>
  <si>
    <t>Automate delivery work needed to run the application using Docker.</t>
  </si>
  <si>
    <t>API container builds successfully The workflow runs reproducibly and reports failures clearly.</t>
  </si>
  <si>
    <t>TASK-059-TEST</t>
  </si>
  <si>
    <t>Automate acceptance coverage for the ability to run the application using Docker.</t>
  </si>
  <si>
    <t>API container builds successfully Happy paths, validation, authorization and failure paths are repeatable.</t>
  </si>
  <si>
    <t>TASK-060-DEVOPS</t>
  </si>
  <si>
    <t>Automate delivery work needed to automatically build and test changes.</t>
  </si>
  <si>
    <t>CI runs on repository changes The workflow runs reproducibly and reports failures clearly.</t>
  </si>
  <si>
    <t>TASK-060-TEST</t>
  </si>
  <si>
    <t>Automate acceptance coverage for the ability to automatically build and test changes.</t>
  </si>
  <si>
    <t>CI runs on repository changes Happy paths, validation, authorization and failure paths are repeatable.</t>
  </si>
  <si>
    <t>TASK-061-DEVOPS</t>
  </si>
  <si>
    <t>Automate delivery work needed to deploy the application to a production environment.</t>
  </si>
  <si>
    <t>Production configuration is externalized The workflow runs reproducibly and reports failures clearly.</t>
  </si>
  <si>
    <t>TASK-061-OPS</t>
  </si>
  <si>
    <t>Add operational controls needed to deploy the application to a production environment.</t>
  </si>
  <si>
    <t>Production configuration is externalized Operators can detect and respond without exposing sensitive information.</t>
  </si>
  <si>
    <t>TASK-061-TEST</t>
  </si>
  <si>
    <t>Automate acceptance coverage for the ability to deploy the application to a production environment.</t>
  </si>
  <si>
    <t>Production configuration is externalized Happy paths, validation, authorization and failure paths are repeatable.</t>
  </si>
  <si>
    <t>TASK-061-DEVOPS, TASK-061-OPS</t>
  </si>
  <si>
    <t>TASK-062-DB</t>
  </si>
  <si>
    <t>Model and persist the data required to invite someone to my library.</t>
  </si>
  <si>
    <t>Invitation targets an intended user Schema, relationships, constraints and migrations support the story safely.</t>
  </si>
  <si>
    <t>TASK-062-BE</t>
  </si>
  <si>
    <t>Implement the API and application behavior to invite someone to my library.</t>
  </si>
  <si>
    <t>Invitation targets an intended user Authorization, validation, success and failure responses are defined.</t>
  </si>
  <si>
    <t>TASK-062-FE</t>
  </si>
  <si>
    <t>Build the mobile user flow to invite someone to my library.</t>
  </si>
  <si>
    <t>Invitation targets an intended user The user can complete the flow with loading, empty, validation and error states.</t>
  </si>
  <si>
    <t>TASK-062-TEST</t>
  </si>
  <si>
    <t>Automate acceptance coverage for the ability to invite someone to my library.</t>
  </si>
  <si>
    <t>Invitation targets an intended user Happy paths, validation, authorization and failure paths are repeatable.</t>
  </si>
  <si>
    <t>TASK-062-DB, TASK-062-BE, TASK-062-FE</t>
  </si>
  <si>
    <t>TASK-063-DB</t>
  </si>
  <si>
    <t>Model and persist the data required to assign Owner, Editor or Viewer access.</t>
  </si>
  <si>
    <t>Roles control read/write operations Schema, relationships, constraints and migrations support the story safely.</t>
  </si>
  <si>
    <t>TASK-063-BE</t>
  </si>
  <si>
    <t>Implement the API and application behavior to assign Owner, Editor or Viewer access.</t>
  </si>
  <si>
    <t>Roles control read/write operations Authorization, validation, success and failure responses are defined.</t>
  </si>
  <si>
    <t>TASK-063-FE</t>
  </si>
  <si>
    <t>Build the mobile user flow to assign Owner, Editor or Viewer access.</t>
  </si>
  <si>
    <t>Roles control read/write operations The user can complete the flow with loading, empty, validation and error states.</t>
  </si>
  <si>
    <t>TASK-063-TEST</t>
  </si>
  <si>
    <t>Automate acceptance coverage for the ability to assign Owner, Editor or Viewer access.</t>
  </si>
  <si>
    <t>Roles control read/write operations Happy paths, validation, authorization and failure paths are repeatable.</t>
  </si>
  <si>
    <t>TASK-063-DB, TASK-063-BE, TASK-063-FE</t>
  </si>
  <si>
    <t>TASK-064-DB</t>
  </si>
  <si>
    <t>Model and persist the data required to choose who can see my library.</t>
  </si>
  <si>
    <t>Visibility setting is stored Schema, relationships, constraints and migrations support the story safely.</t>
  </si>
  <si>
    <t>TASK-064-BE</t>
  </si>
  <si>
    <t>Implement the API and application behavior to choose who can see my library.</t>
  </si>
  <si>
    <t>Visibility setting is stored Authorization, validation, success and failure responses are defined.</t>
  </si>
  <si>
    <t>TASK-064-FE</t>
  </si>
  <si>
    <t>Build the mobile user flow to choose who can see my library.</t>
  </si>
  <si>
    <t>Visibility setting is stored The user can complete the flow with loading, empty, validation and error states.</t>
  </si>
  <si>
    <t>TASK-064-TEST</t>
  </si>
  <si>
    <t>Automate acceptance coverage for the ability to choose who can see my library.</t>
  </si>
  <si>
    <t>Visibility setting is stored Happy paths, validation, authorization and failure paths are repeatable.</t>
  </si>
  <si>
    <t>TASK-064-DB, TASK-064-BE, TASK-064-FE</t>
  </si>
  <si>
    <t>TASK-065-DB</t>
  </si>
  <si>
    <t>Model and persist the data required to record that I lent a book copy.</t>
  </si>
  <si>
    <t>Loan references a specific copy Schema, relationships, constraints and migrations support the story safely.</t>
  </si>
  <si>
    <t>Implemented in the current solution.</t>
  </si>
  <si>
    <t>TASK-065-BE</t>
  </si>
  <si>
    <t>Implement the API and application behavior to record that I lent a book copy.</t>
  </si>
  <si>
    <t>Loan references a specific copy Authorization, validation, success and failure responses are defined.</t>
  </si>
  <si>
    <t>TASK-065-FE</t>
  </si>
  <si>
    <t>Build the mobile user flow to record that I lent a book copy.</t>
  </si>
  <si>
    <t>Loan references a specific copy The user can complete the flow with loading, empty, validation and error states.</t>
  </si>
  <si>
    <t>TASK-065-TEST</t>
  </si>
  <si>
    <t>Automate acceptance coverage for the ability to record that I lent a book copy.</t>
  </si>
  <si>
    <t>Loan references a specific copy Happy paths, validation, authorization and failure paths are repeatable.</t>
  </si>
  <si>
    <t>TASK-065-DB, TASK-065-BE, TASK-065-FE</t>
  </si>
  <si>
    <t>TASK-066-DB</t>
  </si>
  <si>
    <t>Model and persist the data required to record the return of a lent book.</t>
  </si>
  <si>
    <t>Return date and status are updated Schema, relationships, constraints and migrations support the story safely.</t>
  </si>
  <si>
    <t>TASK-066-BE</t>
  </si>
  <si>
    <t>Implement the API and application behavior to record the return of a lent book.</t>
  </si>
  <si>
    <t>Return date and status are updated Authorization, validation, success and failure responses are defined.</t>
  </si>
  <si>
    <t>TASK-066-FE</t>
  </si>
  <si>
    <t>Build the mobile user flow to record the return of a lent book.</t>
  </si>
  <si>
    <t>Return date and status are updated The user can complete the flow with loading, empty, validation and error states.</t>
  </si>
  <si>
    <t>TASK-066-TEST</t>
  </si>
  <si>
    <t>Automate acceptance coverage for the ability to record the return of a lent book.</t>
  </si>
  <si>
    <t>Return date and status are updated Happy paths, validation, authorization and failure paths are repeatable.</t>
  </si>
  <si>
    <t>TASK-066-DB, TASK-066-BE, TASK-066-FE</t>
  </si>
  <si>
    <t>TASK-067-DB</t>
  </si>
  <si>
    <t>Model and persist the data required to save a book to my wishlist.</t>
  </si>
  <si>
    <t>Wishlist entry can reference desired book/edition Schema, relationships, constraints and migrations support the story safely.</t>
  </si>
  <si>
    <t>TASK-067-BE</t>
  </si>
  <si>
    <t>Implement the API and application behavior to save a book to my wishlist.</t>
  </si>
  <si>
    <t>Wishlist entry can reference desired book/edition Authorization, validation, success and failure responses are defined.</t>
  </si>
  <si>
    <t>TASK-067-FE</t>
  </si>
  <si>
    <t>Build the mobile user flow to save a book to my wishlist.</t>
  </si>
  <si>
    <t>Wishlist entry can reference desired book/edition The user can complete the flow with loading, empty, validation and error states.</t>
  </si>
  <si>
    <t>TASK-067-TEST</t>
  </si>
  <si>
    <t>Automate acceptance coverage for the ability to save a book to my wishlist.</t>
  </si>
  <si>
    <t>Wishlist entry can reference desired book/edition Happy paths, validation, authorization and failure paths are repeatable.</t>
  </si>
  <si>
    <t>TASK-067-DB, TASK-067-BE, TASK-067-FE</t>
  </si>
  <si>
    <t>TASK-068-DB</t>
  </si>
  <si>
    <t>Model and persist the data required to connect with another reader.</t>
  </si>
  <si>
    <t>Friend request can be sent Schema, relationships, constraints and migrations support the story safely.</t>
  </si>
  <si>
    <t>TASK-068-BE</t>
  </si>
  <si>
    <t>Implement the API and application behavior to connect with another reader.</t>
  </si>
  <si>
    <t>Friend request can be sent Authorization, validation, success and failure responses are defined.</t>
  </si>
  <si>
    <t>TASK-068-FE</t>
  </si>
  <si>
    <t>Build the mobile user flow to connect with another reader.</t>
  </si>
  <si>
    <t>Friend request can be sent The user can complete the flow with loading, empty, validation and error states.</t>
  </si>
  <si>
    <t>TASK-068-TEST</t>
  </si>
  <si>
    <t>Automate acceptance coverage for the ability to connect with another reader.</t>
  </si>
  <si>
    <t>Friend request can be sent Happy paths, validation, authorization and failure paths are repeatable.</t>
  </si>
  <si>
    <t>TASK-068-DB, TASK-068-BE, TASK-068-FE</t>
  </si>
  <si>
    <t>TASK-069-DB</t>
  </si>
  <si>
    <t>Model and persist the data required to view a friend’s shared library.</t>
  </si>
  <si>
    <t>Only libraries visible to the viewer are listed Schema, relationships, constraints and migrations support the story safely.</t>
  </si>
  <si>
    <t>TASK-069-BE</t>
  </si>
  <si>
    <t>Implement the API and application behavior to view a friend’s shared library.</t>
  </si>
  <si>
    <t>Only libraries visible to the viewer are listed Authorization, validation, success and failure responses are defined.</t>
  </si>
  <si>
    <t>TASK-069-FE</t>
  </si>
  <si>
    <t>Build the mobile user flow to view a friend’s shared library.</t>
  </si>
  <si>
    <t>Only libraries visible to the viewer are listed The user can complete the flow with loading, empty, validation and error states.</t>
  </si>
  <si>
    <t>TASK-069-TEST</t>
  </si>
  <si>
    <t>Automate acceptance coverage for the ability to view a friend’s shared library.</t>
  </si>
  <si>
    <t>Only libraries visible to the viewer are listed Happy paths, validation, authorization and failure paths are repeatable.</t>
  </si>
  <si>
    <t>TASK-069-DB, TASK-069-BE, TASK-069-FE</t>
  </si>
  <si>
    <t>TASK-070-BE</t>
  </si>
  <si>
    <t>Implement the API and application behavior to identify a book without a readable barcode.</t>
  </si>
  <si>
    <t>User can submit book cover/text for recognition Authorization, validation, success and failure responses are defined.</t>
  </si>
  <si>
    <t>TASK-070-FE</t>
  </si>
  <si>
    <t>Build the mobile user flow to identify a book without a readable barcode.</t>
  </si>
  <si>
    <t>User can submit book cover/text for recognition The user can complete the flow with loading, empty, validation and error states.</t>
  </si>
  <si>
    <t>TASK-070-TEST</t>
  </si>
  <si>
    <t>Automate acceptance coverage for the ability to identify a book without a readable barcode.</t>
  </si>
  <si>
    <t>User can submit book cover/text for recognition Happy paths, validation, authorization and failure paths are repeatable.</t>
  </si>
  <si>
    <t>TASK-070-BE, TASK-070-FE</t>
  </si>
  <si>
    <t>TASK-071-DB</t>
  </si>
  <si>
    <t>Model and persist the data required to browse saved library data offline.</t>
  </si>
  <si>
    <t>Previously synced data is available offline Schema, relationships, constraints and migrations support the story safely.</t>
  </si>
  <si>
    <t>TASK-071-BE</t>
  </si>
  <si>
    <t>Implement the API and application behavior to browse saved library data offline.</t>
  </si>
  <si>
    <t>Previously synced data is available offline Authorization, validation, success and failure responses are defined.</t>
  </si>
  <si>
    <t>TASK-071-FE</t>
  </si>
  <si>
    <t>Build the mobile user flow to browse saved library data offline.</t>
  </si>
  <si>
    <t>Previously synced data is available offline The user can complete the flow with loading, empty, validation and error states.</t>
  </si>
  <si>
    <t>TASK-071-TEST</t>
  </si>
  <si>
    <t>Automate acceptance coverage for the ability to browse saved library data offline.</t>
  </si>
  <si>
    <t>Previously synced data is available offline Happy paths, validation, authorization and failure paths are repeatable.</t>
  </si>
  <si>
    <t>TASK-071-DB, TASK-071-BE, TASK-071-FE</t>
  </si>
  <si>
    <t>TASK-072-DB</t>
  </si>
  <si>
    <t>Model and persist the data required to receive relevant library or loan notifications.</t>
  </si>
  <si>
    <t>Notification type and trigger are defined Schema, relationships, constraints and migrations support the story safely.</t>
  </si>
  <si>
    <t>TASK-072-BE</t>
  </si>
  <si>
    <t>Implement the API and application behavior to receive relevant library or loan notifications.</t>
  </si>
  <si>
    <t>Notification type and trigger are defined Authorization, validation, success and failure responses are defined.</t>
  </si>
  <si>
    <t>TASK-072-FE</t>
  </si>
  <si>
    <t>Build the mobile user flow to receive relevant library or loan notifications.</t>
  </si>
  <si>
    <t>Notification type and trigger are defined The user can complete the flow with loading, empty, validation and error states.</t>
  </si>
  <si>
    <t>TASK-072-TEST</t>
  </si>
  <si>
    <t>Automate acceptance coverage for the ability to receive relevant library or loan notifications.</t>
  </si>
  <si>
    <t>Notification type and trigger are defined Happy paths, validation, authorization and failure paths are repeatable.</t>
  </si>
  <si>
    <t>TASK-072-DB, TASK-072-BE, TASK-072-FE</t>
  </si>
  <si>
    <t>TASK-073-DB</t>
  </si>
  <si>
    <t>Model and persist the data required to update a library description and visibility.</t>
  </si>
  <si>
    <t>Name, description and visibility support partial updates Schema, relationships, constraints and migrations support the story safely.</t>
  </si>
  <si>
    <t>TASK-073-BE</t>
  </si>
  <si>
    <t>Implement the API and application behavior to update a library description and visibility.</t>
  </si>
  <si>
    <t>Name, description and visibility support partial updates Authorization, validation, success and failure responses are defined.</t>
  </si>
  <si>
    <t>TASK-073-FE</t>
  </si>
  <si>
    <t>Build the mobile user flow to update a library description and visibility.</t>
  </si>
  <si>
    <t>Name, description and visibility support partial updates The user can complete the flow with loading, empty, validation and error states.</t>
  </si>
  <si>
    <t>TASK-073-TEST</t>
  </si>
  <si>
    <t>Automate acceptance coverage for the ability to update a library description and visibility.</t>
  </si>
  <si>
    <t>Name, description and visibility support partial updates Happy paths, validation, authorization and failure paths are repeatable.</t>
  </si>
  <si>
    <t>TASK-073-DB, TASK-073-BE, TASK-073-FE</t>
  </si>
  <si>
    <t>TASK-074-BE</t>
  </si>
  <si>
    <t>Implement the API and application behavior to list, search, sort and page through my libraries.</t>
  </si>
  <si>
    <t>Only libraries available to the current user are returned Authorization, validation, success and failure responses are defined.</t>
  </si>
  <si>
    <t>TASK-074-FE</t>
  </si>
  <si>
    <t>Build the mobile user flow to list, search, sort and page through my libraries.</t>
  </si>
  <si>
    <t>Only libraries available to the current user are returned The user can complete the flow with loading, empty, validation and error states.</t>
  </si>
  <si>
    <t>TASK-074-TEST</t>
  </si>
  <si>
    <t>Automate acceptance coverage for the ability to list, search, sort and page through my libraries.</t>
  </si>
  <si>
    <t>Only libraries available to the current user are returned Happy paths, validation, authorization and failure paths are repeatable.</t>
  </si>
  <si>
    <t>TASK-074-BE, TASK-074-FE</t>
  </si>
  <si>
    <t>TASK-075-DB</t>
  </si>
  <si>
    <t>Model and persist the data required to update an author record.</t>
  </si>
  <si>
    <t>Name, biography and life dates can be updated Schema, relationships, constraints and migrations support the story safely.</t>
  </si>
  <si>
    <t>TASK-075-BE</t>
  </si>
  <si>
    <t>Implement the API and application behavior to update an author record.</t>
  </si>
  <si>
    <t>Name, biography and life dates can be updated Authorization, validation, success and failure responses are defined.</t>
  </si>
  <si>
    <t>TASK-075-FE</t>
  </si>
  <si>
    <t>Build the mobile user flow to update an author record.</t>
  </si>
  <si>
    <t>Name, biography and life dates can be updated The user can complete the flow with loading, empty, validation and error states.</t>
  </si>
  <si>
    <t>TASK-075-TEST</t>
  </si>
  <si>
    <t>Automate acceptance coverage for the ability to update an author record.</t>
  </si>
  <si>
    <t>Name, biography and life dates can be updated Happy paths, validation, authorization and failure paths are repeatable.</t>
  </si>
  <si>
    <t>TASK-075-DB, TASK-075-BE, TASK-075-FE</t>
  </si>
  <si>
    <t>TASK-076-DB</t>
  </si>
  <si>
    <t>Model and persist the data required to update a publisher record.</t>
  </si>
  <si>
    <t>Publisher name and website can be updated Schema, relationships, constraints and migrations support the story safely.</t>
  </si>
  <si>
    <t>TASK-076-BE</t>
  </si>
  <si>
    <t>Implement the API and application behavior to update a publisher record.</t>
  </si>
  <si>
    <t>Publisher name and website can be updated Authorization, validation, success and failure responses are defined.</t>
  </si>
  <si>
    <t>TASK-076-FE</t>
  </si>
  <si>
    <t>Build the mobile user flow to update a publisher record.</t>
  </si>
  <si>
    <t>Publisher name and website can be updated The user can complete the flow with loading, empty, validation and error states.</t>
  </si>
  <si>
    <t>TASK-076-TEST</t>
  </si>
  <si>
    <t>Automate acceptance coverage for the ability to update a publisher record.</t>
  </si>
  <si>
    <t>Publisher name and website can be updated Happy paths, validation, authorization and failure paths are repeatable.</t>
  </si>
  <si>
    <t>TASK-076-DB, TASK-076-BE, TASK-076-FE</t>
  </si>
  <si>
    <t>TASK-077-DB</t>
  </si>
  <si>
    <t>Model and persist the data required to update a book and its ordered authors.</t>
  </si>
  <si>
    <t>Book metadata supports partial updates Schema, relationships, constraints and migrations support the story safely.</t>
  </si>
  <si>
    <t>TASK-077-BE</t>
  </si>
  <si>
    <t>Implement the API and application behavior to update a book and its ordered authors.</t>
  </si>
  <si>
    <t>Book metadata supports partial updates Authorization, validation, success and failure responses are defined.</t>
  </si>
  <si>
    <t>TASK-077-FE</t>
  </si>
  <si>
    <t>Build the mobile user flow to update a book and its ordered authors.</t>
  </si>
  <si>
    <t>Book metadata supports partial updates The user can complete the flow with loading, empty, validation and error states.</t>
  </si>
  <si>
    <t>TASK-077-TEST</t>
  </si>
  <si>
    <t>Automate acceptance coverage for the ability to update a book and its ordered authors.</t>
  </si>
  <si>
    <t>Book metadata supports partial updates Happy paths, validation, authorization and failure paths are repeatable.</t>
  </si>
  <si>
    <t>TASK-077-DB, TASK-077-BE, TASK-077-FE</t>
  </si>
  <si>
    <t>TASK-078-DB</t>
  </si>
  <si>
    <t>Model and persist the data required to update an edition record.</t>
  </si>
  <si>
    <t>Edition, publisher, ISBN, language, date, pages, cover and description can be updated Schema, relationships, constraints and migrations support the story safely.</t>
  </si>
  <si>
    <t>TASK-078-BE</t>
  </si>
  <si>
    <t>Implement the API and application behavior to update an edition record.</t>
  </si>
  <si>
    <t>Edition, publisher, ISBN, language, date, pages, cover and description can be updated Authorization, validation, success and failure responses are defined.</t>
  </si>
  <si>
    <t>TASK-078-FE</t>
  </si>
  <si>
    <t>Build the mobile user flow to update an edition record.</t>
  </si>
  <si>
    <t>Edition, publisher, ISBN, language, date, pages, cover and description can be updated The user can complete the flow with loading, empty, validation and error states.</t>
  </si>
  <si>
    <t>TASK-078-TEST</t>
  </si>
  <si>
    <t>Automate acceptance coverage for the ability to update an edition record.</t>
  </si>
  <si>
    <t>Edition, publisher, ISBN, language, date, pages, cover and description can be updated Happy paths, validation, authorization and failure paths are repeatable.</t>
  </si>
  <si>
    <t>TASK-078-DB, TASK-078-BE, TASK-078-FE</t>
  </si>
  <si>
    <t>TASK-079-BE</t>
  </si>
  <si>
    <t>Implement the API and application behavior to navigate books, authors, editions and publishers by relationship.</t>
  </si>
  <si>
    <t>Books can be retrieved by author Authorization, validation, success and failure responses are defined.</t>
  </si>
  <si>
    <t>TASK-079-FE</t>
  </si>
  <si>
    <t>Build the mobile user flow to navigate books, authors, editions and publishers by relationship.</t>
  </si>
  <si>
    <t>Books can be retrieved by author The user can complete the flow with loading, empty, validation and error states.</t>
  </si>
  <si>
    <t>TASK-079-TEST</t>
  </si>
  <si>
    <t>Automate acceptance coverage for the ability to navigate books, authors, editions and publishers by relationship.</t>
  </si>
  <si>
    <t>Books can be retrieved by author Happy paths, validation, authorization and failure paths are repeatable.</t>
  </si>
  <si>
    <t>TASK-079-BE, TASK-079-FE</t>
  </si>
  <si>
    <t>TASK-080-BE</t>
  </si>
  <si>
    <t>Implement the API and application behavior to see metadata provenance and confirm web-search results.</t>
  </si>
  <si>
    <t>Lookup results identify their source and whether review is required Authorization, validation, success and failure responses are defined.</t>
  </si>
  <si>
    <t>TASK-080-FE</t>
  </si>
  <si>
    <t>Build the mobile user flow to see metadata provenance and confirm web-search results.</t>
  </si>
  <si>
    <t>Lookup results identify their source and whether review is required The user can complete the flow with loading, empty, validation and error states.</t>
  </si>
  <si>
    <t>TASK-080-TEST</t>
  </si>
  <si>
    <t>Automate acceptance coverage for the ability to see metadata provenance and confirm web-search results.</t>
  </si>
  <si>
    <t>Lookup results identify their source and whether review is required Happy paths, validation, authorization and failure paths are repeatable.</t>
  </si>
  <si>
    <t>TASK-080-BE, TASK-080-FE</t>
  </si>
  <si>
    <t>TASK-081-DB</t>
  </si>
  <si>
    <t>Model and persist the data required to import reviewed metadata atomically while reusing catalogue entities.</t>
  </si>
  <si>
    <t>The ISBN is rechecked inside the transaction Schema, relationships, constraints and migrations support the story safely.</t>
  </si>
  <si>
    <t>TASK-081-BE</t>
  </si>
  <si>
    <t>Implement the API and application behavior to import reviewed metadata atomically while reusing catalogue entities.</t>
  </si>
  <si>
    <t>The ISBN is rechecked inside the transaction Authorization, validation, success and failure responses are defined.</t>
  </si>
  <si>
    <t>TASK-081-TEST</t>
  </si>
  <si>
    <t>Automate acceptance coverage for the ability to import reviewed metadata atomically while reusing catalogue entities.</t>
  </si>
  <si>
    <t>The ISBN is rechecked inside the transaction Happy paths, validation, authorization and failure paths are repeatable.</t>
  </si>
  <si>
    <t>TASK-081-DB, TASK-081-BE</t>
  </si>
  <si>
    <t>TASK-082-BE</t>
  </si>
  <si>
    <t>Implement the API and application behavior to browse, search, sort and page through catalogue records.</t>
  </si>
  <si>
    <t>Books, authors, editions and publishers have list endpoints Authorization, validation, success and failure responses are defined.</t>
  </si>
  <si>
    <t>TASK-082-FE</t>
  </si>
  <si>
    <t>Build the mobile user flow to browse, search, sort and page through catalogue records.</t>
  </si>
  <si>
    <t>Books, authors, editions and publishers have list endpoints The user can complete the flow with loading, empty, validation and error states.</t>
  </si>
  <si>
    <t>TASK-082-TEST</t>
  </si>
  <si>
    <t>Automate acceptance coverage for the ability to browse, search, sort and page through catalogue records.</t>
  </si>
  <si>
    <t>Books, authors, editions and publishers have list endpoints Happy paths, validation, authorization and failure paths are repeatable.</t>
  </si>
  <si>
    <t>TASK-082-BE, TASK-082-FE</t>
  </si>
  <si>
    <t>TASK-083-DB</t>
  </si>
  <si>
    <t>Model and persist the data required to view statistics about my reading and collection.</t>
  </si>
  <si>
    <t>Statistics are scoped to accessible libraries Schema, relationships, constraints and migrations support the story safely.</t>
  </si>
  <si>
    <t>TASK-083-BE</t>
  </si>
  <si>
    <t>Implement the API and application behavior to view statistics about my reading and collection.</t>
  </si>
  <si>
    <t>Statistics are scoped to accessible libraries Authorization, validation, success and failure responses are defined.</t>
  </si>
  <si>
    <t>TASK-083-FE</t>
  </si>
  <si>
    <t>Build the mobile user flow to view statistics about my reading and collection.</t>
  </si>
  <si>
    <t>Statistics are scoped to accessible libraries The user can complete the flow with loading, empty, validation and error states.</t>
  </si>
  <si>
    <t>TASK-083-TEST</t>
  </si>
  <si>
    <t>Automate acceptance coverage for the ability to view statistics about my reading and collection.</t>
  </si>
  <si>
    <t>Statistics are scoped to accessible libraries Happy paths, validation, authorization and failure paths are repeatable.</t>
  </si>
  <si>
    <t>TASK-083-DB, TASK-083-BE, TASK-083-FE</t>
  </si>
  <si>
    <t>TASK-084-DB</t>
  </si>
  <si>
    <t>Model and persist the data required to receive relevant book recommendations.</t>
  </si>
  <si>
    <t>Recommendations use permitted library or reading signals Schema, relationships, constraints and migrations support the story safely.</t>
  </si>
  <si>
    <t>TASK-084-BE</t>
  </si>
  <si>
    <t>Implement the API and application behavior to receive relevant book recommendations.</t>
  </si>
  <si>
    <t>Recommendations use permitted library or reading signals Authorization, validation, success and failure responses are defined.</t>
  </si>
  <si>
    <t>TASK-084-FE</t>
  </si>
  <si>
    <t>Build the mobile user flow to receive relevant book recommendations.</t>
  </si>
  <si>
    <t>Recommendations use permitted library or reading signals The user can complete the flow with loading, empty, validation and error states.</t>
  </si>
  <si>
    <t>TASK-084-TEST</t>
  </si>
  <si>
    <t>Automate acceptance coverage for the ability to receive relevant book recommendations.</t>
  </si>
  <si>
    <t>Recommendations use permitted library or reading signals Happy paths, validation, authorization and failure paths are repeatable.</t>
  </si>
  <si>
    <t>TASK-084-DB, TASK-084-BE, TASK-084-FE</t>
  </si>
  <si>
    <t>TASK-085-DB</t>
  </si>
  <si>
    <t>Model and persist the data required to see loans that are due or overdue.</t>
  </si>
  <si>
    <t>Active loans show borrower and expected return date Schema, relationships, constraints and migrations support the story safely.</t>
  </si>
  <si>
    <t>TASK-085-BE</t>
  </si>
  <si>
    <t>Implement the API and application behavior to see loans that are due or overdue.</t>
  </si>
  <si>
    <t>Active loans show borrower and expected return date Authorization, validation, success and failure responses are defined.</t>
  </si>
  <si>
    <t>TASK-085-FE</t>
  </si>
  <si>
    <t>Build the mobile user flow to see loans that are due or overdue.</t>
  </si>
  <si>
    <t>Active loans show borrower and expected return date The user can complete the flow with loading, empty, validation and error states.</t>
  </si>
  <si>
    <t>TASK-085-TEST</t>
  </si>
  <si>
    <t>Automate acceptance coverage for the ability to see loans that are due or overdue.</t>
  </si>
  <si>
    <t>Active loans show borrower and expected return date Happy paths, validation, authorization and failure paths are repeatable.</t>
  </si>
  <si>
    <t>TASK-085-DB, TASK-085-BE, TASK-085-FE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</si>
</sst>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name val="Carlito"/>
    </font>
    <font>
      <b/>
      <sz val="11"/>
      <color rgb="FFFFFFFF"/>
      <name val="Carlito"/>
    </font>
    <font>
      <sz val="11"/>
      <color rgb="FF155E75"/>
      <name val="Carlito"/>
    </font>
    <font>
      <b/>
      <sz val="15"/>
      <color rgb="FFFFFFFF"/>
      <name val="Carlito"/>
    </font>
    <font>
      <b/>
      <sz val="11"/>
      <name val="Carlito"/>
    </font>
    <font>
      <sz val="10"/>
      <color rgb="FF1F2937"/>
      <name val="Arial"/>
    </font>
    <font>
      <b/>
      <sz val="10"/>
      <color rgb="FFFFFFFF"/>
      <name val="Arial"/>
    </font>
  </fonts>
  <fills count="5">
    <fill>
      <patternFill patternType="none"/>
    </fill>
    <fill>
      <patternFill patternType="gray125"/>
    </fill>
    <fill>
      <patternFill patternType="solid">
        <fgColor rgb="FF202B3A"/>
      </patternFill>
    </fill>
    <fill>
      <patternFill patternType="solid">
        <fgColor rgb="FF34465C"/>
      </patternFill>
    </fill>
    <fill>
      <patternFill patternType="solid">
        <fgColor rgb="FF2232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1" fillId="3" borderId="0" xfId="0" applyFont="1" applyFill="1"/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3" fillId="2" borderId="0" xfId="0" applyFont="1" applyFill="1"/>
    <xf numFmtId="0" fontId="0" fillId="0" borderId="0" xfId="0"/>
  </cellXfs>
  <cellStyles count="1">
    <cellStyle name="Normal" xfId="0" builtinId="0"/>
  </cellStyles>
  <dxfs count="20">
    <dxf>
      <font>
        <color rgb="FF595959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E6B2E"/>
      </font>
      <fill>
        <patternFill patternType="solid">
          <bgColor rgb="FFE2F0D9"/>
        </patternFill>
      </fill>
    </dxf>
    <dxf>
      <font>
        <color rgb="FF595959"/>
      </font>
      <fill>
        <patternFill patternType="solid">
          <bgColor rgb="FFE7E6E6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7F6000"/>
      </font>
      <fill>
        <patternFill patternType="solid">
          <bgColor rgb="FFFFF2CC"/>
        </patternFill>
      </fill>
    </dxf>
    <dxf>
      <font>
        <b/>
        <color rgb="FF2E6B2E"/>
      </font>
      <fill>
        <patternFill patternType="solid">
          <bgColor rgb="FFE2F0D9"/>
        </patternFill>
      </fill>
    </dxf>
    <dxf>
      <fill>
        <patternFill>
          <bgColor rgb="FFFCE0E0"/>
        </patternFill>
      </fill>
    </dxf>
    <dxf>
      <fill>
        <patternFill>
          <bgColor rgb="FFFFF3C4"/>
        </patternFill>
      </fill>
    </dxf>
    <dxf>
      <fill>
        <patternFill>
          <bgColor rgb="FFD8F3DC"/>
        </patternFill>
      </fill>
    </dxf>
    <dxf>
      <fill>
        <patternFill>
          <bgColor rgb="FFFCE0E0"/>
        </patternFill>
      </fill>
    </dxf>
    <dxf>
      <fill>
        <patternFill>
          <bgColor rgb="FFFFF3C4"/>
        </patternFill>
      </fill>
    </dxf>
    <dxf>
      <fill>
        <patternFill>
          <bgColor rgb="FFD8F3DC"/>
        </patternFill>
      </fill>
    </dxf>
    <dxf>
      <fill>
        <patternFill>
          <bgColor rgb="FFE6F0FF"/>
        </patternFill>
      </fill>
    </dxf>
    <dxf>
      <fill>
        <patternFill>
          <bgColor rgb="FFFFF3D7"/>
        </patternFill>
      </fill>
    </dxf>
    <dxf>
      <fill>
        <patternFill>
          <bgColor rgb="FFFBE7E9"/>
        </patternFill>
      </fill>
    </dxf>
    <dxf>
      <fill>
        <patternFill>
          <bgColor rgb="FFE6F0FF"/>
        </patternFill>
      </fill>
    </dxf>
    <dxf>
      <fill>
        <patternFill>
          <bgColor rgb="FFFFF3D7"/>
        </patternFill>
      </fill>
    </dxf>
    <dxf>
      <fill>
        <patternFill>
          <bgColor rgb="FFFBE7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toriesTable" displayName="UserStoriesTable" ref="A1:K86" totalsRowShown="0">
  <autoFilter ref="A1:K86" xr:uid="{00000000-0009-0000-0100-000001000000}">
    <filterColumn colId="10">
      <filters>
        <filter val="In Progress"/>
        <filter val="Not Started"/>
      </filters>
    </filterColumn>
  </autoFilter>
  <tableColumns count="11">
    <tableColumn id="1" xr3:uid="{00000000-0010-0000-0000-000001000000}" name="Story"/>
    <tableColumn id="2" xr3:uid="{00000000-0010-0000-0000-000002000000}" name="Module"/>
    <tableColumn id="3" xr3:uid="{00000000-0010-0000-0000-000003000000}" name="Role"/>
    <tableColumn id="4" xr3:uid="{00000000-0010-0000-0000-000004000000}" name="As a..."/>
    <tableColumn id="5" xr3:uid="{00000000-0010-0000-0000-000005000000}" name="I want to..."/>
    <tableColumn id="6" xr3:uid="{00000000-0010-0000-0000-000006000000}" name="So that..."/>
    <tableColumn id="7" xr3:uid="{00000000-0010-0000-0000-000007000000}" name="Acceptance Criteria"/>
    <tableColumn id="8" xr3:uid="{00000000-0010-0000-0000-000008000000}" name="Priority"/>
    <tableColumn id="9" xr3:uid="{00000000-0010-0000-0000-000009000000}" name="Milestone"/>
    <tableColumn id="10" xr3:uid="{00000000-0010-0000-0000-00000A000000}" name="Comments"/>
    <tableColumn id="11" xr3:uid="{00000000-0010-0000-0000-00000B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picsTable" displayName="EpicsTable" ref="A1:M13" totalsRowShown="0">
  <tableColumns count="13">
    <tableColumn id="1" xr3:uid="{00000000-0010-0000-0100-000001000000}" name="Epic ID"/>
    <tableColumn id="2" xr3:uid="{00000000-0010-0000-0100-000002000000}" name="Epic"/>
    <tableColumn id="3" xr3:uid="{00000000-0010-0000-0100-000003000000}" name="Outcome"/>
    <tableColumn id="4" xr3:uid="{00000000-0010-0000-0100-000004000000}" name="Milestones"/>
    <tableColumn id="5" xr3:uid="{00000000-0010-0000-0100-000005000000}" name="Related US IDs"/>
    <tableColumn id="6" xr3:uid="{00000000-0010-0000-0100-000006000000}" name="Story Count"/>
    <tableColumn id="7" xr3:uid="{00000000-0010-0000-0100-000007000000}" name="Task Count"/>
    <tableColumn id="8" xr3:uid="{00000000-0010-0000-0100-000008000000}" name="Done Tasks"/>
    <tableColumn id="9" xr3:uid="{00000000-0010-0000-0100-000009000000}" name="In Progress"/>
    <tableColumn id="10" xr3:uid="{00000000-0010-0000-0100-00000A000000}" name="Blocked"/>
    <tableColumn id="11" xr3:uid="{00000000-0010-0000-0100-00000B000000}" name="Not Started"/>
    <tableColumn id="12" xr3:uid="{00000000-0010-0000-0100-00000C000000}" name="Epic Status"/>
    <tableColumn id="13" xr3:uid="{00000000-0010-0000-0100-00000D000000}" name="Sources and 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sksTable" displayName="TasksTable" ref="A1:K298" totalsRowShown="0">
  <autoFilter ref="A1:K298" xr:uid="{00000000-000C-0000-FFFF-FFFF02000000}">
    <filterColumn colId="3">
      <filters>
        <filter val="API Integration"/>
        <filter val="Backend/API"/>
        <filter val="Background Processing"/>
        <filter val="Database"/>
        <filter val="DevOps"/>
        <filter val="Infrastructure"/>
        <filter val="Observability"/>
        <filter val="Operations"/>
      </filters>
    </filterColumn>
    <filterColumn colId="6">
      <filters>
        <filter val="M0 — Foundation"/>
        <filter val="M1 — Core Library"/>
        <filter val="M2 — Smart ISBN"/>
      </filters>
    </filterColumn>
    <filterColumn colId="8">
      <filters>
        <filter val="Not Started"/>
      </filters>
    </filterColumn>
  </autoFilter>
  <tableColumns count="11">
    <tableColumn id="1" xr3:uid="{00000000-0010-0000-0200-000001000000}" name="Task ID"/>
    <tableColumn id="2" xr3:uid="{00000000-0010-0000-0200-000002000000}" name="Epic ID"/>
    <tableColumn id="3" xr3:uid="{00000000-0010-0000-0200-000003000000}" name="US ID"/>
    <tableColumn id="4" xr3:uid="{00000000-0010-0000-0200-000004000000}" name="Area"/>
    <tableColumn id="5" xr3:uid="{00000000-0010-0000-0200-000005000000}" name="Task"/>
    <tableColumn id="6" xr3:uid="{00000000-0010-0000-0200-000006000000}" name="Done Criteria"/>
    <tableColumn id="7" xr3:uid="{00000000-0010-0000-0200-000007000000}" name="Milestone"/>
    <tableColumn id="8" xr3:uid="{00000000-0010-0000-0200-000008000000}" name="Priority"/>
    <tableColumn id="9" xr3:uid="{00000000-0010-0000-0200-000009000000}" name="Status"/>
    <tableColumn id="10" xr3:uid="{00000000-0010-0000-0200-00000A000000}" name="Depends On"/>
    <tableColumn id="11" xr3:uid="{00000000-0010-0000-0200-00000B000000}" name="Evidence and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6"/>
  <sheetViews>
    <sheetView tabSelected="1" topLeftCell="G1" workbookViewId="0">
      <pane ySplit="1" topLeftCell="A29" activePane="bottomLeft" state="frozen"/>
      <selection pane="bottomLeft" activeCell="D1" sqref="D1"/>
    </sheetView>
  </sheetViews>
  <sheetFormatPr defaultRowHeight="13.8"/>
  <cols>
    <col min="1" max="1" width="11" customWidth="1"/>
    <col min="2" max="2" width="19" customWidth="1"/>
    <col min="3" max="3" width="12" customWidth="1"/>
    <col min="4" max="4" width="24" customWidth="1"/>
    <col min="5" max="5" width="43" customWidth="1"/>
    <col min="6" max="6" width="40" customWidth="1"/>
    <col min="7" max="7" width="77" customWidth="1"/>
    <col min="8" max="8" width="16" customWidth="1"/>
    <col min="9" max="9" width="24" customWidth="1"/>
    <col min="10" max="10" width="35" customWidth="1"/>
    <col min="11" max="11" width="17" customWidth="1"/>
  </cols>
  <sheetData>
    <row r="1" spans="1:11" ht="34.04999999999999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03.95" customHeight="1">
      <c r="A2" s="3" t="s">
        <v>44</v>
      </c>
      <c r="B2" s="2" t="s">
        <v>45</v>
      </c>
      <c r="C2" s="2" t="s">
        <v>46</v>
      </c>
      <c r="D2" s="2" t="s">
        <v>47</v>
      </c>
      <c r="E2" s="2" t="s">
        <v>48</v>
      </c>
      <c r="F2" s="2" t="s">
        <v>49</v>
      </c>
      <c r="G2" s="2" t="s">
        <v>50</v>
      </c>
      <c r="H2" s="2" t="s">
        <v>15</v>
      </c>
      <c r="I2" s="2" t="s">
        <v>23</v>
      </c>
      <c r="J2" s="2" t="s">
        <v>51</v>
      </c>
      <c r="K2" s="2" t="s">
        <v>52</v>
      </c>
    </row>
    <row r="3" spans="1:11" ht="103.95" customHeight="1">
      <c r="A3" s="3" t="s">
        <v>53</v>
      </c>
      <c r="B3" s="2" t="s">
        <v>45</v>
      </c>
      <c r="C3" s="2" t="s">
        <v>46</v>
      </c>
      <c r="D3" s="2" t="s">
        <v>54</v>
      </c>
      <c r="E3" s="2" t="s">
        <v>55</v>
      </c>
      <c r="F3" s="2" t="s">
        <v>56</v>
      </c>
      <c r="G3" s="2" t="s">
        <v>57</v>
      </c>
      <c r="H3" s="2" t="s">
        <v>15</v>
      </c>
      <c r="I3" s="2" t="s">
        <v>23</v>
      </c>
      <c r="J3" s="2" t="s">
        <v>58</v>
      </c>
      <c r="K3" s="2" t="s">
        <v>52</v>
      </c>
    </row>
    <row r="4" spans="1:11" ht="103.95" customHeight="1">
      <c r="A4" s="3" t="s">
        <v>59</v>
      </c>
      <c r="B4" s="2" t="s">
        <v>45</v>
      </c>
      <c r="C4" s="2" t="s">
        <v>46</v>
      </c>
      <c r="D4" s="2" t="s">
        <v>54</v>
      </c>
      <c r="E4" s="2" t="s">
        <v>60</v>
      </c>
      <c r="F4" s="2" t="s">
        <v>61</v>
      </c>
      <c r="G4" s="2" t="s">
        <v>62</v>
      </c>
      <c r="H4" s="2" t="s">
        <v>15</v>
      </c>
      <c r="I4" s="2" t="s">
        <v>23</v>
      </c>
      <c r="J4" s="2" t="s">
        <v>63</v>
      </c>
      <c r="K4" s="2" t="s">
        <v>52</v>
      </c>
    </row>
    <row r="5" spans="1:11" ht="103.95" customHeight="1">
      <c r="A5" s="3" t="s">
        <v>64</v>
      </c>
      <c r="B5" s="2" t="s">
        <v>45</v>
      </c>
      <c r="C5" s="2" t="s">
        <v>46</v>
      </c>
      <c r="D5" s="2" t="s">
        <v>65</v>
      </c>
      <c r="E5" s="2" t="s">
        <v>66</v>
      </c>
      <c r="F5" s="2" t="s">
        <v>67</v>
      </c>
      <c r="G5" s="2" t="s">
        <v>68</v>
      </c>
      <c r="H5" s="2" t="s">
        <v>15</v>
      </c>
      <c r="I5" s="2" t="s">
        <v>23</v>
      </c>
      <c r="J5" s="2" t="s">
        <v>69</v>
      </c>
      <c r="K5" s="2" t="s">
        <v>52</v>
      </c>
    </row>
    <row r="6" spans="1:11" ht="103.95" customHeight="1">
      <c r="A6" s="3" t="s">
        <v>70</v>
      </c>
      <c r="B6" s="2" t="s">
        <v>45</v>
      </c>
      <c r="C6" s="2" t="s">
        <v>46</v>
      </c>
      <c r="D6" s="2" t="s">
        <v>54</v>
      </c>
      <c r="E6" s="2" t="s">
        <v>71</v>
      </c>
      <c r="F6" s="2" t="s">
        <v>72</v>
      </c>
      <c r="G6" s="2" t="s">
        <v>73</v>
      </c>
      <c r="H6" s="2" t="s">
        <v>15</v>
      </c>
      <c r="I6" s="2" t="s">
        <v>23</v>
      </c>
      <c r="J6" s="2" t="s">
        <v>74</v>
      </c>
      <c r="K6" s="2" t="s">
        <v>52</v>
      </c>
    </row>
    <row r="7" spans="1:11" ht="103.95" customHeight="1">
      <c r="A7" s="3" t="s">
        <v>75</v>
      </c>
      <c r="B7" s="2" t="s">
        <v>45</v>
      </c>
      <c r="C7" s="2" t="s">
        <v>46</v>
      </c>
      <c r="D7" s="2" t="s">
        <v>65</v>
      </c>
      <c r="E7" s="2" t="s">
        <v>76</v>
      </c>
      <c r="F7" s="2" t="s">
        <v>77</v>
      </c>
      <c r="G7" s="2" t="s">
        <v>78</v>
      </c>
      <c r="H7" s="2" t="s">
        <v>15</v>
      </c>
      <c r="I7" s="2" t="s">
        <v>23</v>
      </c>
      <c r="J7" s="2" t="s">
        <v>79</v>
      </c>
      <c r="K7" s="2" t="s">
        <v>52</v>
      </c>
    </row>
    <row r="8" spans="1:11" ht="103.95" hidden="1" customHeight="1">
      <c r="A8" s="3" t="s">
        <v>80</v>
      </c>
      <c r="B8" s="2" t="s">
        <v>81</v>
      </c>
      <c r="C8" s="2" t="s">
        <v>82</v>
      </c>
      <c r="D8" s="2" t="s">
        <v>83</v>
      </c>
      <c r="E8" s="2" t="s">
        <v>84</v>
      </c>
      <c r="F8" s="2" t="s">
        <v>85</v>
      </c>
      <c r="G8" s="2" t="s">
        <v>86</v>
      </c>
      <c r="H8" s="2" t="s">
        <v>16</v>
      </c>
      <c r="I8" s="2" t="s">
        <v>23</v>
      </c>
      <c r="J8" s="2" t="s">
        <v>87</v>
      </c>
      <c r="K8" s="2" t="s">
        <v>88</v>
      </c>
    </row>
    <row r="9" spans="1:11" ht="103.95" customHeight="1">
      <c r="A9" s="3" t="s">
        <v>89</v>
      </c>
      <c r="B9" s="2" t="s">
        <v>90</v>
      </c>
      <c r="C9" s="2" t="s">
        <v>46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15</v>
      </c>
      <c r="I9" s="2" t="s">
        <v>26</v>
      </c>
      <c r="J9" s="2" t="s">
        <v>95</v>
      </c>
      <c r="K9" s="2" t="s">
        <v>52</v>
      </c>
    </row>
    <row r="10" spans="1:11" ht="103.95" customHeight="1">
      <c r="A10" s="3" t="s">
        <v>96</v>
      </c>
      <c r="B10" s="2" t="s">
        <v>90</v>
      </c>
      <c r="C10" s="2" t="s">
        <v>46</v>
      </c>
      <c r="D10" s="2" t="s">
        <v>65</v>
      </c>
      <c r="E10" s="2" t="s">
        <v>97</v>
      </c>
      <c r="F10" s="2" t="s">
        <v>98</v>
      </c>
      <c r="G10" s="2" t="s">
        <v>99</v>
      </c>
      <c r="H10" s="2" t="s">
        <v>15</v>
      </c>
      <c r="I10" s="2" t="s">
        <v>26</v>
      </c>
      <c r="J10" s="2" t="s">
        <v>100</v>
      </c>
      <c r="K10" s="2" t="s">
        <v>52</v>
      </c>
    </row>
    <row r="11" spans="1:11" ht="103.95" hidden="1" customHeight="1">
      <c r="A11" s="3" t="s">
        <v>101</v>
      </c>
      <c r="B11" s="2" t="s">
        <v>102</v>
      </c>
      <c r="C11" s="2" t="s">
        <v>46</v>
      </c>
      <c r="D11" s="2" t="s">
        <v>103</v>
      </c>
      <c r="E11" s="2" t="s">
        <v>104</v>
      </c>
      <c r="F11" s="2" t="s">
        <v>105</v>
      </c>
      <c r="G11" s="2" t="s">
        <v>106</v>
      </c>
      <c r="H11" s="2" t="s">
        <v>15</v>
      </c>
      <c r="I11" s="2" t="s">
        <v>26</v>
      </c>
      <c r="J11" s="2" t="s">
        <v>107</v>
      </c>
      <c r="K11" s="2" t="s">
        <v>88</v>
      </c>
    </row>
    <row r="12" spans="1:11" ht="103.95" customHeight="1">
      <c r="A12" s="3" t="s">
        <v>108</v>
      </c>
      <c r="B12" s="2" t="s">
        <v>109</v>
      </c>
      <c r="C12" s="2" t="s">
        <v>46</v>
      </c>
      <c r="D12" s="2" t="s">
        <v>110</v>
      </c>
      <c r="E12" s="2" t="s">
        <v>111</v>
      </c>
      <c r="F12" s="2" t="s">
        <v>112</v>
      </c>
      <c r="G12" s="2" t="s">
        <v>113</v>
      </c>
      <c r="H12" s="2" t="s">
        <v>15</v>
      </c>
      <c r="I12" s="2" t="s">
        <v>26</v>
      </c>
      <c r="J12" s="2" t="s">
        <v>114</v>
      </c>
      <c r="K12" s="2" t="s">
        <v>52</v>
      </c>
    </row>
    <row r="13" spans="1:11" ht="103.95" customHeight="1">
      <c r="A13" s="3" t="s">
        <v>115</v>
      </c>
      <c r="B13" s="2" t="s">
        <v>109</v>
      </c>
      <c r="C13" s="2" t="s">
        <v>46</v>
      </c>
      <c r="D13" s="2" t="s">
        <v>110</v>
      </c>
      <c r="E13" s="2" t="s">
        <v>116</v>
      </c>
      <c r="F13" s="2" t="s">
        <v>117</v>
      </c>
      <c r="G13" s="2" t="s">
        <v>118</v>
      </c>
      <c r="H13" s="2" t="s">
        <v>15</v>
      </c>
      <c r="I13" s="2" t="s">
        <v>26</v>
      </c>
      <c r="J13" s="2" t="s">
        <v>119</v>
      </c>
      <c r="K13" s="2" t="s">
        <v>52</v>
      </c>
    </row>
    <row r="14" spans="1:11" ht="103.95" customHeight="1">
      <c r="A14" s="3" t="s">
        <v>120</v>
      </c>
      <c r="B14" s="2" t="s">
        <v>109</v>
      </c>
      <c r="C14" s="2" t="s">
        <v>46</v>
      </c>
      <c r="D14" s="2" t="s">
        <v>110</v>
      </c>
      <c r="E14" s="2" t="s">
        <v>121</v>
      </c>
      <c r="F14" s="2" t="s">
        <v>122</v>
      </c>
      <c r="G14" s="2" t="s">
        <v>123</v>
      </c>
      <c r="H14" s="2" t="s">
        <v>15</v>
      </c>
      <c r="I14" s="2" t="s">
        <v>26</v>
      </c>
      <c r="J14" s="2" t="s">
        <v>124</v>
      </c>
      <c r="K14" s="2" t="s">
        <v>52</v>
      </c>
    </row>
    <row r="15" spans="1:11" ht="103.95" customHeight="1">
      <c r="A15" s="3" t="s">
        <v>125</v>
      </c>
      <c r="B15" s="2" t="s">
        <v>109</v>
      </c>
      <c r="C15" s="2" t="s">
        <v>46</v>
      </c>
      <c r="D15" s="2" t="s">
        <v>110</v>
      </c>
      <c r="E15" s="2" t="s">
        <v>126</v>
      </c>
      <c r="F15" s="2" t="s">
        <v>127</v>
      </c>
      <c r="G15" s="2" t="s">
        <v>128</v>
      </c>
      <c r="H15" s="2" t="s">
        <v>15</v>
      </c>
      <c r="I15" s="2" t="s">
        <v>26</v>
      </c>
      <c r="J15" s="2" t="s">
        <v>129</v>
      </c>
      <c r="K15" s="2" t="s">
        <v>52</v>
      </c>
    </row>
    <row r="16" spans="1:11" ht="103.95" customHeight="1">
      <c r="A16" s="3" t="s">
        <v>130</v>
      </c>
      <c r="B16" s="2" t="s">
        <v>109</v>
      </c>
      <c r="C16" s="2" t="s">
        <v>46</v>
      </c>
      <c r="D16" s="2" t="s">
        <v>110</v>
      </c>
      <c r="E16" s="2" t="s">
        <v>131</v>
      </c>
      <c r="F16" s="2" t="s">
        <v>132</v>
      </c>
      <c r="G16" s="2" t="s">
        <v>133</v>
      </c>
      <c r="H16" s="2" t="s">
        <v>15</v>
      </c>
      <c r="I16" s="2" t="s">
        <v>26</v>
      </c>
      <c r="J16" s="2" t="s">
        <v>134</v>
      </c>
      <c r="K16" s="2" t="s">
        <v>52</v>
      </c>
    </row>
    <row r="17" spans="1:11" ht="103.95" customHeight="1">
      <c r="A17" s="3" t="s">
        <v>135</v>
      </c>
      <c r="B17" s="2" t="s">
        <v>109</v>
      </c>
      <c r="C17" s="2" t="s">
        <v>46</v>
      </c>
      <c r="D17" s="2" t="s">
        <v>110</v>
      </c>
      <c r="E17" s="2" t="s">
        <v>136</v>
      </c>
      <c r="F17" s="2" t="s">
        <v>137</v>
      </c>
      <c r="G17" s="2" t="s">
        <v>138</v>
      </c>
      <c r="H17" s="2" t="s">
        <v>15</v>
      </c>
      <c r="I17" s="2" t="s">
        <v>26</v>
      </c>
      <c r="J17" s="2" t="s">
        <v>139</v>
      </c>
      <c r="K17" s="2" t="s">
        <v>52</v>
      </c>
    </row>
    <row r="18" spans="1:11" ht="82.8">
      <c r="A18" s="3" t="s">
        <v>140</v>
      </c>
      <c r="B18" s="2" t="s">
        <v>141</v>
      </c>
      <c r="C18" s="2" t="s">
        <v>46</v>
      </c>
      <c r="D18" s="2" t="s">
        <v>142</v>
      </c>
      <c r="E18" s="2" t="s">
        <v>143</v>
      </c>
      <c r="F18" s="2" t="s">
        <v>144</v>
      </c>
      <c r="G18" s="2" t="s">
        <v>145</v>
      </c>
      <c r="H18" s="2" t="s">
        <v>15</v>
      </c>
      <c r="I18" s="2" t="s">
        <v>26</v>
      </c>
      <c r="J18" s="2" t="s">
        <v>146</v>
      </c>
      <c r="K18" s="2" t="s">
        <v>52</v>
      </c>
    </row>
    <row r="19" spans="1:11" ht="103.95" customHeight="1">
      <c r="A19" s="3" t="s">
        <v>147</v>
      </c>
      <c r="B19" s="2" t="s">
        <v>141</v>
      </c>
      <c r="C19" s="2" t="s">
        <v>46</v>
      </c>
      <c r="D19" s="2" t="s">
        <v>142</v>
      </c>
      <c r="E19" s="2" t="s">
        <v>148</v>
      </c>
      <c r="F19" s="2" t="s">
        <v>149</v>
      </c>
      <c r="G19" s="2" t="s">
        <v>150</v>
      </c>
      <c r="H19" s="2" t="s">
        <v>15</v>
      </c>
      <c r="I19" s="2" t="s">
        <v>26</v>
      </c>
      <c r="J19" s="2" t="s">
        <v>151</v>
      </c>
      <c r="K19" s="2" t="s">
        <v>52</v>
      </c>
    </row>
    <row r="20" spans="1:11" ht="103.95" customHeight="1">
      <c r="A20" s="3" t="s">
        <v>152</v>
      </c>
      <c r="B20" s="2" t="s">
        <v>141</v>
      </c>
      <c r="C20" s="2" t="s">
        <v>46</v>
      </c>
      <c r="D20" s="2" t="s">
        <v>103</v>
      </c>
      <c r="E20" s="2" t="s">
        <v>153</v>
      </c>
      <c r="F20" s="2" t="s">
        <v>154</v>
      </c>
      <c r="G20" s="2" t="s">
        <v>155</v>
      </c>
      <c r="H20" s="2" t="s">
        <v>15</v>
      </c>
      <c r="I20" s="2" t="s">
        <v>26</v>
      </c>
      <c r="J20" s="2" t="s">
        <v>156</v>
      </c>
      <c r="K20" s="2" t="s">
        <v>52</v>
      </c>
    </row>
    <row r="21" spans="1:11" ht="103.95" customHeight="1">
      <c r="A21" s="3" t="s">
        <v>157</v>
      </c>
      <c r="B21" s="2" t="s">
        <v>158</v>
      </c>
      <c r="C21" s="2" t="s">
        <v>46</v>
      </c>
      <c r="D21" s="2" t="s">
        <v>103</v>
      </c>
      <c r="E21" s="2" t="s">
        <v>159</v>
      </c>
      <c r="F21" s="2" t="s">
        <v>160</v>
      </c>
      <c r="G21" s="2" t="s">
        <v>161</v>
      </c>
      <c r="H21" s="2" t="s">
        <v>15</v>
      </c>
      <c r="I21" s="2" t="s">
        <v>28</v>
      </c>
      <c r="J21" s="2" t="s">
        <v>162</v>
      </c>
      <c r="K21" s="2" t="s">
        <v>52</v>
      </c>
    </row>
    <row r="22" spans="1:11" ht="103.95" hidden="1" customHeight="1">
      <c r="A22" s="3" t="s">
        <v>163</v>
      </c>
      <c r="B22" s="2" t="s">
        <v>158</v>
      </c>
      <c r="C22" s="2" t="s">
        <v>46</v>
      </c>
      <c r="D22" s="2" t="s">
        <v>103</v>
      </c>
      <c r="E22" s="2" t="s">
        <v>164</v>
      </c>
      <c r="F22" s="2" t="s">
        <v>165</v>
      </c>
      <c r="G22" s="2" t="s">
        <v>166</v>
      </c>
      <c r="H22" s="2" t="s">
        <v>15</v>
      </c>
      <c r="I22" s="2" t="s">
        <v>28</v>
      </c>
      <c r="J22" s="2" t="s">
        <v>167</v>
      </c>
      <c r="K22" s="2" t="s">
        <v>88</v>
      </c>
    </row>
    <row r="23" spans="1:11" ht="103.95" customHeight="1">
      <c r="A23" s="3" t="s">
        <v>168</v>
      </c>
      <c r="B23" s="2" t="s">
        <v>169</v>
      </c>
      <c r="C23" s="2" t="s">
        <v>46</v>
      </c>
      <c r="D23" s="2" t="s">
        <v>103</v>
      </c>
      <c r="E23" s="2" t="s">
        <v>170</v>
      </c>
      <c r="F23" s="2" t="s">
        <v>171</v>
      </c>
      <c r="G23" s="2" t="s">
        <v>172</v>
      </c>
      <c r="H23" s="2" t="s">
        <v>15</v>
      </c>
      <c r="I23" s="2" t="s">
        <v>28</v>
      </c>
      <c r="J23" s="2" t="s">
        <v>173</v>
      </c>
      <c r="K23" s="2" t="s">
        <v>52</v>
      </c>
    </row>
    <row r="24" spans="1:11" ht="103.95" hidden="1" customHeight="1">
      <c r="A24" s="3" t="s">
        <v>174</v>
      </c>
      <c r="B24" s="2" t="s">
        <v>169</v>
      </c>
      <c r="C24" s="2" t="s">
        <v>46</v>
      </c>
      <c r="D24" s="2" t="s">
        <v>103</v>
      </c>
      <c r="E24" s="2" t="s">
        <v>175</v>
      </c>
      <c r="F24" s="2" t="s">
        <v>176</v>
      </c>
      <c r="G24" s="2" t="s">
        <v>177</v>
      </c>
      <c r="H24" s="2" t="s">
        <v>15</v>
      </c>
      <c r="I24" s="2" t="s">
        <v>28</v>
      </c>
      <c r="J24" s="2" t="s">
        <v>178</v>
      </c>
      <c r="K24" s="2" t="s">
        <v>88</v>
      </c>
    </row>
    <row r="25" spans="1:11" ht="103.95" hidden="1" customHeight="1">
      <c r="A25" s="3" t="s">
        <v>179</v>
      </c>
      <c r="B25" s="2" t="s">
        <v>169</v>
      </c>
      <c r="C25" s="2" t="s">
        <v>46</v>
      </c>
      <c r="D25" s="2" t="s">
        <v>103</v>
      </c>
      <c r="E25" s="2" t="s">
        <v>180</v>
      </c>
      <c r="F25" s="2" t="s">
        <v>181</v>
      </c>
      <c r="G25" s="2" t="s">
        <v>182</v>
      </c>
      <c r="H25" s="2" t="s">
        <v>16</v>
      </c>
      <c r="I25" s="2" t="s">
        <v>28</v>
      </c>
      <c r="J25" s="2" t="s">
        <v>183</v>
      </c>
      <c r="K25" s="2" t="s">
        <v>88</v>
      </c>
    </row>
    <row r="26" spans="1:11" ht="103.95" customHeight="1">
      <c r="A26" s="3" t="s">
        <v>184</v>
      </c>
      <c r="B26" s="2" t="s">
        <v>158</v>
      </c>
      <c r="C26" s="2" t="s">
        <v>46</v>
      </c>
      <c r="D26" s="2" t="s">
        <v>103</v>
      </c>
      <c r="E26" s="2" t="s">
        <v>185</v>
      </c>
      <c r="F26" s="2" t="s">
        <v>186</v>
      </c>
      <c r="G26" s="2" t="s">
        <v>187</v>
      </c>
      <c r="H26" s="2" t="s">
        <v>15</v>
      </c>
      <c r="I26" s="2" t="s">
        <v>28</v>
      </c>
      <c r="J26" s="2" t="s">
        <v>188</v>
      </c>
      <c r="K26" s="2" t="s">
        <v>52</v>
      </c>
    </row>
    <row r="27" spans="1:11" ht="103.95" customHeight="1">
      <c r="A27" s="3" t="s">
        <v>189</v>
      </c>
      <c r="B27" s="2" t="s">
        <v>190</v>
      </c>
      <c r="C27" s="2" t="s">
        <v>46</v>
      </c>
      <c r="D27" s="2" t="s">
        <v>103</v>
      </c>
      <c r="E27" s="2" t="s">
        <v>191</v>
      </c>
      <c r="F27" s="2" t="s">
        <v>192</v>
      </c>
      <c r="G27" s="2" t="s">
        <v>193</v>
      </c>
      <c r="H27" s="2" t="s">
        <v>15</v>
      </c>
      <c r="I27" s="2" t="s">
        <v>28</v>
      </c>
      <c r="J27" s="2" t="s">
        <v>194</v>
      </c>
      <c r="K27" s="2" t="s">
        <v>52</v>
      </c>
    </row>
    <row r="28" spans="1:11" ht="103.95" customHeight="1">
      <c r="A28" s="3" t="s">
        <v>195</v>
      </c>
      <c r="B28" s="2" t="s">
        <v>190</v>
      </c>
      <c r="C28" s="2" t="s">
        <v>46</v>
      </c>
      <c r="D28" s="2" t="s">
        <v>103</v>
      </c>
      <c r="E28" s="2" t="s">
        <v>196</v>
      </c>
      <c r="F28" s="2" t="s">
        <v>197</v>
      </c>
      <c r="G28" s="2" t="s">
        <v>198</v>
      </c>
      <c r="H28" s="2" t="s">
        <v>15</v>
      </c>
      <c r="I28" s="2" t="s">
        <v>28</v>
      </c>
      <c r="J28" s="2"/>
      <c r="K28" s="2" t="s">
        <v>199</v>
      </c>
    </row>
    <row r="29" spans="1:11" ht="103.95" customHeight="1">
      <c r="A29" s="3" t="s">
        <v>200</v>
      </c>
      <c r="B29" s="2" t="s">
        <v>190</v>
      </c>
      <c r="C29" s="2" t="s">
        <v>46</v>
      </c>
      <c r="D29" s="2" t="s">
        <v>103</v>
      </c>
      <c r="E29" s="2" t="s">
        <v>201</v>
      </c>
      <c r="F29" s="2" t="s">
        <v>202</v>
      </c>
      <c r="G29" s="2" t="s">
        <v>203</v>
      </c>
      <c r="H29" s="2" t="s">
        <v>15</v>
      </c>
      <c r="I29" s="2" t="s">
        <v>28</v>
      </c>
      <c r="J29" s="2" t="s">
        <v>204</v>
      </c>
      <c r="K29" s="2" t="s">
        <v>52</v>
      </c>
    </row>
    <row r="30" spans="1:11" ht="103.95" customHeight="1">
      <c r="A30" s="3" t="s">
        <v>205</v>
      </c>
      <c r="B30" s="2" t="s">
        <v>206</v>
      </c>
      <c r="C30" s="2" t="s">
        <v>46</v>
      </c>
      <c r="D30" s="2" t="s">
        <v>142</v>
      </c>
      <c r="E30" s="2" t="s">
        <v>207</v>
      </c>
      <c r="F30" s="2" t="s">
        <v>208</v>
      </c>
      <c r="G30" s="2" t="s">
        <v>209</v>
      </c>
      <c r="H30" s="2" t="s">
        <v>15</v>
      </c>
      <c r="I30" s="2" t="s">
        <v>28</v>
      </c>
      <c r="J30" s="2" t="s">
        <v>210</v>
      </c>
      <c r="K30" s="2" t="s">
        <v>52</v>
      </c>
    </row>
    <row r="31" spans="1:11" ht="103.95" customHeight="1">
      <c r="A31" s="3" t="s">
        <v>211</v>
      </c>
      <c r="B31" s="2" t="s">
        <v>206</v>
      </c>
      <c r="C31" s="2" t="s">
        <v>46</v>
      </c>
      <c r="D31" s="2" t="s">
        <v>103</v>
      </c>
      <c r="E31" s="2" t="s">
        <v>212</v>
      </c>
      <c r="F31" s="2" t="s">
        <v>213</v>
      </c>
      <c r="G31" s="2" t="s">
        <v>214</v>
      </c>
      <c r="H31" s="2" t="s">
        <v>15</v>
      </c>
      <c r="I31" t="s">
        <v>28</v>
      </c>
      <c r="J31" s="2" t="s">
        <v>215</v>
      </c>
      <c r="K31" s="2" t="s">
        <v>52</v>
      </c>
    </row>
    <row r="32" spans="1:11" ht="103.95" customHeight="1">
      <c r="A32" s="3" t="s">
        <v>216</v>
      </c>
      <c r="B32" s="2" t="s">
        <v>217</v>
      </c>
      <c r="C32" s="2" t="s">
        <v>46</v>
      </c>
      <c r="D32" s="2" t="s">
        <v>47</v>
      </c>
      <c r="E32" s="2" t="s">
        <v>218</v>
      </c>
      <c r="F32" s="2" t="s">
        <v>219</v>
      </c>
      <c r="G32" s="2" t="s">
        <v>220</v>
      </c>
      <c r="H32" s="2" t="s">
        <v>15</v>
      </c>
      <c r="I32" s="2" t="s">
        <v>30</v>
      </c>
      <c r="J32" s="2"/>
      <c r="K32" s="2" t="s">
        <v>199</v>
      </c>
    </row>
    <row r="33" spans="1:11" ht="103.95" customHeight="1">
      <c r="A33" s="3" t="s">
        <v>221</v>
      </c>
      <c r="B33" s="2" t="s">
        <v>217</v>
      </c>
      <c r="C33" s="2" t="s">
        <v>46</v>
      </c>
      <c r="D33" s="2" t="s">
        <v>54</v>
      </c>
      <c r="E33" s="2" t="s">
        <v>222</v>
      </c>
      <c r="F33" s="2" t="s">
        <v>223</v>
      </c>
      <c r="G33" s="2" t="s">
        <v>224</v>
      </c>
      <c r="H33" s="2" t="s">
        <v>15</v>
      </c>
      <c r="I33" s="2" t="s">
        <v>30</v>
      </c>
      <c r="J33" s="2"/>
      <c r="K33" s="2" t="s">
        <v>199</v>
      </c>
    </row>
    <row r="34" spans="1:11" ht="103.95" customHeight="1">
      <c r="A34" s="3" t="s">
        <v>225</v>
      </c>
      <c r="B34" s="2" t="s">
        <v>217</v>
      </c>
      <c r="C34" s="2" t="s">
        <v>46</v>
      </c>
      <c r="D34" s="2" t="s">
        <v>65</v>
      </c>
      <c r="E34" s="2" t="s">
        <v>226</v>
      </c>
      <c r="F34" s="2" t="s">
        <v>227</v>
      </c>
      <c r="G34" s="2" t="s">
        <v>228</v>
      </c>
      <c r="H34" s="2" t="s">
        <v>15</v>
      </c>
      <c r="I34" s="2" t="s">
        <v>30</v>
      </c>
      <c r="J34" s="2"/>
      <c r="K34" s="2" t="s">
        <v>199</v>
      </c>
    </row>
    <row r="35" spans="1:11" ht="103.95" customHeight="1">
      <c r="A35" s="3" t="s">
        <v>229</v>
      </c>
      <c r="B35" s="2" t="s">
        <v>217</v>
      </c>
      <c r="C35" s="2" t="s">
        <v>46</v>
      </c>
      <c r="D35" s="2" t="s">
        <v>103</v>
      </c>
      <c r="E35" s="2" t="s">
        <v>230</v>
      </c>
      <c r="F35" s="2" t="s">
        <v>231</v>
      </c>
      <c r="G35" s="2" t="s">
        <v>232</v>
      </c>
      <c r="H35" s="2" t="s">
        <v>15</v>
      </c>
      <c r="I35" s="2" t="s">
        <v>30</v>
      </c>
      <c r="J35" s="2"/>
      <c r="K35" s="2" t="s">
        <v>199</v>
      </c>
    </row>
    <row r="36" spans="1:11" ht="103.95" customHeight="1">
      <c r="A36" s="3" t="s">
        <v>233</v>
      </c>
      <c r="B36" s="2" t="s">
        <v>217</v>
      </c>
      <c r="C36" s="2" t="s">
        <v>46</v>
      </c>
      <c r="D36" s="2" t="s">
        <v>103</v>
      </c>
      <c r="E36" s="2" t="s">
        <v>234</v>
      </c>
      <c r="F36" s="2" t="s">
        <v>235</v>
      </c>
      <c r="G36" s="2" t="s">
        <v>236</v>
      </c>
      <c r="H36" s="2" t="s">
        <v>15</v>
      </c>
      <c r="I36" s="2" t="s">
        <v>30</v>
      </c>
      <c r="J36" s="2"/>
      <c r="K36" s="2" t="s">
        <v>199</v>
      </c>
    </row>
    <row r="37" spans="1:11" ht="103.95" customHeight="1">
      <c r="A37" s="3" t="s">
        <v>237</v>
      </c>
      <c r="B37" s="2" t="s">
        <v>217</v>
      </c>
      <c r="C37" s="2" t="s">
        <v>46</v>
      </c>
      <c r="D37" s="2" t="s">
        <v>103</v>
      </c>
      <c r="E37" s="2" t="s">
        <v>238</v>
      </c>
      <c r="F37" s="2" t="s">
        <v>239</v>
      </c>
      <c r="G37" s="2" t="s">
        <v>240</v>
      </c>
      <c r="H37" s="2" t="s">
        <v>15</v>
      </c>
      <c r="I37" s="2" t="s">
        <v>30</v>
      </c>
      <c r="J37" s="2"/>
      <c r="K37" s="2" t="s">
        <v>199</v>
      </c>
    </row>
    <row r="38" spans="1:11" ht="103.95" customHeight="1">
      <c r="A38" s="3" t="s">
        <v>241</v>
      </c>
      <c r="B38" s="2" t="s">
        <v>217</v>
      </c>
      <c r="C38" s="2" t="s">
        <v>46</v>
      </c>
      <c r="D38" s="2" t="s">
        <v>103</v>
      </c>
      <c r="E38" s="2" t="s">
        <v>242</v>
      </c>
      <c r="F38" s="2" t="s">
        <v>243</v>
      </c>
      <c r="G38" s="2" t="s">
        <v>244</v>
      </c>
      <c r="H38" s="2" t="s">
        <v>15</v>
      </c>
      <c r="I38" s="2" t="s">
        <v>30</v>
      </c>
      <c r="J38" s="2"/>
      <c r="K38" s="2" t="s">
        <v>199</v>
      </c>
    </row>
    <row r="39" spans="1:11" ht="103.95" customHeight="1">
      <c r="A39" s="3" t="s">
        <v>245</v>
      </c>
      <c r="B39" s="2" t="s">
        <v>217</v>
      </c>
      <c r="C39" s="2" t="s">
        <v>46</v>
      </c>
      <c r="D39" s="2" t="s">
        <v>103</v>
      </c>
      <c r="E39" s="2" t="s">
        <v>246</v>
      </c>
      <c r="F39" s="2" t="s">
        <v>247</v>
      </c>
      <c r="G39" s="2" t="s">
        <v>248</v>
      </c>
      <c r="H39" s="2" t="s">
        <v>15</v>
      </c>
      <c r="I39" s="2" t="s">
        <v>30</v>
      </c>
      <c r="J39" s="2"/>
      <c r="K39" s="2" t="s">
        <v>199</v>
      </c>
    </row>
    <row r="40" spans="1:11" ht="103.95" customHeight="1">
      <c r="A40" s="3" t="s">
        <v>249</v>
      </c>
      <c r="B40" s="2" t="s">
        <v>250</v>
      </c>
      <c r="C40" s="2" t="s">
        <v>46</v>
      </c>
      <c r="D40" s="2" t="s">
        <v>103</v>
      </c>
      <c r="E40" s="2" t="s">
        <v>251</v>
      </c>
      <c r="F40" s="2" t="s">
        <v>252</v>
      </c>
      <c r="G40" s="2" t="s">
        <v>253</v>
      </c>
      <c r="H40" s="2" t="s">
        <v>15</v>
      </c>
      <c r="I40" s="2" t="s">
        <v>32</v>
      </c>
      <c r="J40" s="2" t="s">
        <v>254</v>
      </c>
      <c r="K40" s="2" t="s">
        <v>52</v>
      </c>
    </row>
    <row r="41" spans="1:11" ht="103.95" customHeight="1">
      <c r="A41" s="3" t="s">
        <v>255</v>
      </c>
      <c r="B41" s="2" t="s">
        <v>250</v>
      </c>
      <c r="C41" s="2" t="s">
        <v>46</v>
      </c>
      <c r="D41" s="2" t="s">
        <v>103</v>
      </c>
      <c r="E41" s="2" t="s">
        <v>256</v>
      </c>
      <c r="F41" s="2" t="s">
        <v>257</v>
      </c>
      <c r="G41" s="2" t="s">
        <v>258</v>
      </c>
      <c r="H41" s="2" t="s">
        <v>15</v>
      </c>
      <c r="I41" s="2" t="s">
        <v>32</v>
      </c>
      <c r="J41" s="2"/>
      <c r="K41" s="2" t="s">
        <v>199</v>
      </c>
    </row>
    <row r="42" spans="1:11" ht="103.95" customHeight="1">
      <c r="A42" s="3" t="s">
        <v>259</v>
      </c>
      <c r="B42" s="2" t="s">
        <v>250</v>
      </c>
      <c r="C42" s="2" t="s">
        <v>46</v>
      </c>
      <c r="D42" s="2" t="s">
        <v>103</v>
      </c>
      <c r="E42" s="2" t="s">
        <v>260</v>
      </c>
      <c r="F42" s="2" t="s">
        <v>261</v>
      </c>
      <c r="G42" s="2" t="s">
        <v>262</v>
      </c>
      <c r="H42" s="2" t="s">
        <v>15</v>
      </c>
      <c r="I42" s="2" t="s">
        <v>32</v>
      </c>
      <c r="J42" s="2" t="s">
        <v>263</v>
      </c>
      <c r="K42" s="2" t="s">
        <v>52</v>
      </c>
    </row>
    <row r="43" spans="1:11" ht="103.95" customHeight="1">
      <c r="A43" s="3" t="s">
        <v>264</v>
      </c>
      <c r="B43" s="2" t="s">
        <v>250</v>
      </c>
      <c r="C43" s="2" t="s">
        <v>46</v>
      </c>
      <c r="D43" s="2" t="s">
        <v>103</v>
      </c>
      <c r="E43" s="2" t="s">
        <v>265</v>
      </c>
      <c r="F43" s="2" t="s">
        <v>266</v>
      </c>
      <c r="G43" s="2" t="s">
        <v>267</v>
      </c>
      <c r="H43" s="2" t="s">
        <v>15</v>
      </c>
      <c r="I43" s="2" t="s">
        <v>32</v>
      </c>
      <c r="J43" s="2"/>
      <c r="K43" s="2" t="s">
        <v>199</v>
      </c>
    </row>
    <row r="44" spans="1:11" ht="103.95" customHeight="1">
      <c r="A44" s="3" t="s">
        <v>268</v>
      </c>
      <c r="B44" s="2" t="s">
        <v>141</v>
      </c>
      <c r="C44" s="2" t="s">
        <v>46</v>
      </c>
      <c r="D44" s="2" t="s">
        <v>142</v>
      </c>
      <c r="E44" s="2" t="s">
        <v>269</v>
      </c>
      <c r="F44" s="2" t="s">
        <v>270</v>
      </c>
      <c r="G44" s="2" t="s">
        <v>271</v>
      </c>
      <c r="H44" s="2" t="s">
        <v>15</v>
      </c>
      <c r="I44" s="2" t="s">
        <v>32</v>
      </c>
      <c r="J44" s="2"/>
      <c r="K44" s="2" t="s">
        <v>199</v>
      </c>
    </row>
    <row r="45" spans="1:11" ht="103.95" customHeight="1">
      <c r="A45" s="3" t="s">
        <v>272</v>
      </c>
      <c r="B45" s="2" t="s">
        <v>273</v>
      </c>
      <c r="C45" s="2" t="s">
        <v>46</v>
      </c>
      <c r="D45" s="2" t="s">
        <v>142</v>
      </c>
      <c r="E45" s="2" t="s">
        <v>274</v>
      </c>
      <c r="F45" s="2" t="s">
        <v>275</v>
      </c>
      <c r="G45" s="2" t="s">
        <v>276</v>
      </c>
      <c r="H45" s="2" t="s">
        <v>15</v>
      </c>
      <c r="I45" s="2" t="s">
        <v>32</v>
      </c>
      <c r="J45" s="2" t="s">
        <v>277</v>
      </c>
      <c r="K45" s="2" t="s">
        <v>52</v>
      </c>
    </row>
    <row r="46" spans="1:11" ht="103.95" customHeight="1">
      <c r="A46" s="3" t="s">
        <v>278</v>
      </c>
      <c r="B46" s="2" t="s">
        <v>141</v>
      </c>
      <c r="C46" s="2" t="s">
        <v>46</v>
      </c>
      <c r="D46" s="2" t="s">
        <v>142</v>
      </c>
      <c r="E46" s="2" t="s">
        <v>279</v>
      </c>
      <c r="F46" s="2" t="s">
        <v>280</v>
      </c>
      <c r="G46" s="2" t="s">
        <v>281</v>
      </c>
      <c r="H46" s="2" t="s">
        <v>15</v>
      </c>
      <c r="I46" s="2" t="s">
        <v>32</v>
      </c>
      <c r="J46" s="2"/>
      <c r="K46" s="2" t="s">
        <v>199</v>
      </c>
    </row>
    <row r="47" spans="1:11" ht="103.95" customHeight="1">
      <c r="A47" s="3" t="s">
        <v>282</v>
      </c>
      <c r="B47" s="2" t="s">
        <v>141</v>
      </c>
      <c r="C47" s="2" t="s">
        <v>46</v>
      </c>
      <c r="D47" s="2" t="s">
        <v>142</v>
      </c>
      <c r="E47" s="2" t="s">
        <v>283</v>
      </c>
      <c r="F47" s="2" t="s">
        <v>284</v>
      </c>
      <c r="G47" s="2" t="s">
        <v>285</v>
      </c>
      <c r="H47" s="2" t="s">
        <v>15</v>
      </c>
      <c r="I47" s="2" t="s">
        <v>32</v>
      </c>
      <c r="J47" s="2"/>
      <c r="K47" s="2" t="s">
        <v>199</v>
      </c>
    </row>
    <row r="48" spans="1:11" ht="103.95" customHeight="1">
      <c r="A48" s="3" t="s">
        <v>286</v>
      </c>
      <c r="B48" s="2" t="s">
        <v>250</v>
      </c>
      <c r="C48" s="2" t="s">
        <v>46</v>
      </c>
      <c r="D48" s="2" t="s">
        <v>103</v>
      </c>
      <c r="E48" s="2" t="s">
        <v>287</v>
      </c>
      <c r="F48" s="2" t="s">
        <v>288</v>
      </c>
      <c r="G48" s="2" t="s">
        <v>289</v>
      </c>
      <c r="H48" s="2" t="s">
        <v>15</v>
      </c>
      <c r="I48" s="2" t="s">
        <v>32</v>
      </c>
      <c r="J48" s="2" t="s">
        <v>290</v>
      </c>
      <c r="K48" s="2" t="s">
        <v>52</v>
      </c>
    </row>
    <row r="49" spans="1:11" ht="103.95" customHeight="1">
      <c r="A49" s="3" t="s">
        <v>291</v>
      </c>
      <c r="B49" s="2" t="s">
        <v>292</v>
      </c>
      <c r="C49" s="2" t="s">
        <v>46</v>
      </c>
      <c r="D49" s="2" t="s">
        <v>103</v>
      </c>
      <c r="E49" s="2" t="s">
        <v>293</v>
      </c>
      <c r="F49" s="2" t="s">
        <v>294</v>
      </c>
      <c r="G49" s="2" t="s">
        <v>295</v>
      </c>
      <c r="H49" s="2" t="s">
        <v>17</v>
      </c>
      <c r="I49" s="2" t="s">
        <v>35</v>
      </c>
      <c r="J49" s="2"/>
      <c r="K49" s="2" t="s">
        <v>199</v>
      </c>
    </row>
    <row r="50" spans="1:11" ht="103.95" customHeight="1">
      <c r="A50" s="3" t="s">
        <v>296</v>
      </c>
      <c r="B50" s="2" t="s">
        <v>292</v>
      </c>
      <c r="C50" s="2" t="s">
        <v>46</v>
      </c>
      <c r="D50" s="2" t="s">
        <v>103</v>
      </c>
      <c r="E50" s="2" t="s">
        <v>297</v>
      </c>
      <c r="F50" s="2" t="s">
        <v>298</v>
      </c>
      <c r="G50" s="2" t="s">
        <v>299</v>
      </c>
      <c r="H50" s="2" t="s">
        <v>17</v>
      </c>
      <c r="I50" s="2" t="s">
        <v>35</v>
      </c>
      <c r="J50" s="2"/>
      <c r="K50" s="2" t="s">
        <v>199</v>
      </c>
    </row>
    <row r="51" spans="1:11" ht="103.95" customHeight="1">
      <c r="A51" s="3" t="s">
        <v>300</v>
      </c>
      <c r="B51" s="2" t="s">
        <v>292</v>
      </c>
      <c r="C51" s="2" t="s">
        <v>46</v>
      </c>
      <c r="D51" s="2" t="s">
        <v>103</v>
      </c>
      <c r="E51" s="2" t="s">
        <v>301</v>
      </c>
      <c r="F51" s="2" t="s">
        <v>302</v>
      </c>
      <c r="G51" s="2" t="s">
        <v>303</v>
      </c>
      <c r="H51" s="2" t="s">
        <v>17</v>
      </c>
      <c r="I51" s="2" t="s">
        <v>35</v>
      </c>
      <c r="J51" s="2"/>
      <c r="K51" s="2" t="s">
        <v>199</v>
      </c>
    </row>
    <row r="52" spans="1:11" ht="103.95" customHeight="1">
      <c r="A52" s="3" t="s">
        <v>304</v>
      </c>
      <c r="B52" s="2" t="s">
        <v>292</v>
      </c>
      <c r="C52" s="2" t="s">
        <v>46</v>
      </c>
      <c r="D52" s="2" t="s">
        <v>103</v>
      </c>
      <c r="E52" s="2" t="s">
        <v>305</v>
      </c>
      <c r="F52" s="2" t="s">
        <v>306</v>
      </c>
      <c r="G52" s="2" t="s">
        <v>307</v>
      </c>
      <c r="H52" s="2" t="s">
        <v>17</v>
      </c>
      <c r="I52" s="2" t="s">
        <v>35</v>
      </c>
      <c r="J52" s="2"/>
      <c r="K52" s="2" t="s">
        <v>199</v>
      </c>
    </row>
    <row r="53" spans="1:11" ht="103.95" customHeight="1">
      <c r="A53" s="3" t="s">
        <v>308</v>
      </c>
      <c r="B53" s="2" t="s">
        <v>292</v>
      </c>
      <c r="C53" s="2" t="s">
        <v>46</v>
      </c>
      <c r="D53" s="2" t="s">
        <v>103</v>
      </c>
      <c r="E53" s="2" t="s">
        <v>309</v>
      </c>
      <c r="F53" s="2" t="s">
        <v>310</v>
      </c>
      <c r="G53" s="2" t="s">
        <v>311</v>
      </c>
      <c r="H53" s="2" t="s">
        <v>17</v>
      </c>
      <c r="I53" s="2" t="s">
        <v>35</v>
      </c>
      <c r="J53" s="2"/>
      <c r="K53" s="2" t="s">
        <v>199</v>
      </c>
    </row>
    <row r="54" spans="1:11" ht="103.95" customHeight="1">
      <c r="A54" s="3" t="s">
        <v>312</v>
      </c>
      <c r="B54" s="2" t="s">
        <v>313</v>
      </c>
      <c r="C54" s="2" t="s">
        <v>46</v>
      </c>
      <c r="D54" s="2" t="s">
        <v>103</v>
      </c>
      <c r="E54" s="2" t="s">
        <v>314</v>
      </c>
      <c r="F54" s="2" t="s">
        <v>315</v>
      </c>
      <c r="G54" s="2" t="s">
        <v>316</v>
      </c>
      <c r="H54" s="2" t="s">
        <v>16</v>
      </c>
      <c r="I54" s="2" t="s">
        <v>37</v>
      </c>
      <c r="J54" s="2" t="s">
        <v>317</v>
      </c>
      <c r="K54" s="2" t="s">
        <v>52</v>
      </c>
    </row>
    <row r="55" spans="1:11" ht="103.95" customHeight="1">
      <c r="A55" s="3" t="s">
        <v>318</v>
      </c>
      <c r="B55" s="2" t="s">
        <v>319</v>
      </c>
      <c r="C55" s="2" t="s">
        <v>46</v>
      </c>
      <c r="D55" s="2" t="s">
        <v>103</v>
      </c>
      <c r="E55" s="2" t="s">
        <v>320</v>
      </c>
      <c r="F55" s="2" t="s">
        <v>321</v>
      </c>
      <c r="G55" s="2" t="s">
        <v>322</v>
      </c>
      <c r="H55" s="2" t="s">
        <v>17</v>
      </c>
      <c r="I55" s="2" t="s">
        <v>37</v>
      </c>
      <c r="J55" s="2"/>
      <c r="K55" s="2" t="s">
        <v>199</v>
      </c>
    </row>
    <row r="56" spans="1:11" ht="103.95" customHeight="1">
      <c r="A56" s="3" t="s">
        <v>323</v>
      </c>
      <c r="B56" s="2" t="s">
        <v>324</v>
      </c>
      <c r="C56" s="2" t="s">
        <v>46</v>
      </c>
      <c r="D56" s="2" t="s">
        <v>325</v>
      </c>
      <c r="E56" s="2" t="s">
        <v>326</v>
      </c>
      <c r="F56" s="2" t="s">
        <v>327</v>
      </c>
      <c r="G56" s="2" t="s">
        <v>328</v>
      </c>
      <c r="H56" s="2" t="s">
        <v>16</v>
      </c>
      <c r="I56" s="2" t="s">
        <v>37</v>
      </c>
      <c r="J56" s="2" t="s">
        <v>329</v>
      </c>
      <c r="K56" s="2" t="s">
        <v>52</v>
      </c>
    </row>
    <row r="57" spans="1:11" ht="103.95" customHeight="1">
      <c r="A57" s="3" t="s">
        <v>330</v>
      </c>
      <c r="B57" s="2" t="s">
        <v>324</v>
      </c>
      <c r="C57" s="2" t="s">
        <v>46</v>
      </c>
      <c r="D57" s="2" t="s">
        <v>325</v>
      </c>
      <c r="E57" s="2" t="s">
        <v>331</v>
      </c>
      <c r="F57" s="2" t="s">
        <v>332</v>
      </c>
      <c r="G57" s="2" t="s">
        <v>333</v>
      </c>
      <c r="H57" s="2" t="s">
        <v>16</v>
      </c>
      <c r="I57" s="2" t="s">
        <v>37</v>
      </c>
      <c r="J57" s="2"/>
      <c r="K57" s="2" t="s">
        <v>199</v>
      </c>
    </row>
    <row r="58" spans="1:11" ht="103.95" hidden="1" customHeight="1">
      <c r="A58" s="3" t="s">
        <v>334</v>
      </c>
      <c r="B58" s="2" t="s">
        <v>335</v>
      </c>
      <c r="C58" s="2" t="s">
        <v>46</v>
      </c>
      <c r="D58" s="2" t="s">
        <v>325</v>
      </c>
      <c r="E58" s="2" t="s">
        <v>336</v>
      </c>
      <c r="F58" s="2" t="s">
        <v>337</v>
      </c>
      <c r="G58" s="2" t="s">
        <v>338</v>
      </c>
      <c r="H58" s="2" t="s">
        <v>16</v>
      </c>
      <c r="I58" s="2" t="s">
        <v>37</v>
      </c>
      <c r="J58" s="2" t="s">
        <v>339</v>
      </c>
      <c r="K58" s="2" t="s">
        <v>88</v>
      </c>
    </row>
    <row r="59" spans="1:11" ht="103.95" customHeight="1">
      <c r="A59" s="3" t="s">
        <v>340</v>
      </c>
      <c r="B59" s="2" t="s">
        <v>335</v>
      </c>
      <c r="C59" s="2" t="s">
        <v>46</v>
      </c>
      <c r="D59" s="2" t="s">
        <v>325</v>
      </c>
      <c r="E59" s="2" t="s">
        <v>341</v>
      </c>
      <c r="F59" s="2" t="s">
        <v>342</v>
      </c>
      <c r="G59" s="2" t="s">
        <v>343</v>
      </c>
      <c r="H59" s="2" t="s">
        <v>16</v>
      </c>
      <c r="I59" s="2" t="s">
        <v>37</v>
      </c>
      <c r="J59" s="2"/>
      <c r="K59" s="2" t="s">
        <v>199</v>
      </c>
    </row>
    <row r="60" spans="1:11" ht="103.95" customHeight="1">
      <c r="A60" s="3" t="s">
        <v>344</v>
      </c>
      <c r="B60" s="2" t="s">
        <v>345</v>
      </c>
      <c r="C60" s="2" t="s">
        <v>46</v>
      </c>
      <c r="D60" s="2" t="s">
        <v>325</v>
      </c>
      <c r="E60" s="2" t="s">
        <v>346</v>
      </c>
      <c r="F60" s="2" t="s">
        <v>347</v>
      </c>
      <c r="G60" s="2" t="s">
        <v>348</v>
      </c>
      <c r="H60" s="2" t="s">
        <v>16</v>
      </c>
      <c r="I60" s="2" t="s">
        <v>37</v>
      </c>
      <c r="J60" s="2"/>
      <c r="K60" s="2" t="s">
        <v>199</v>
      </c>
    </row>
    <row r="61" spans="1:11" ht="103.95" customHeight="1">
      <c r="A61" s="3" t="s">
        <v>349</v>
      </c>
      <c r="B61" s="2" t="s">
        <v>345</v>
      </c>
      <c r="C61" s="2" t="s">
        <v>46</v>
      </c>
      <c r="D61" s="2" t="s">
        <v>325</v>
      </c>
      <c r="E61" s="2" t="s">
        <v>350</v>
      </c>
      <c r="F61" s="2" t="s">
        <v>351</v>
      </c>
      <c r="G61" s="2" t="s">
        <v>352</v>
      </c>
      <c r="H61" s="2" t="s">
        <v>16</v>
      </c>
      <c r="I61" s="2" t="s">
        <v>37</v>
      </c>
      <c r="J61" s="2"/>
      <c r="K61" s="2" t="s">
        <v>199</v>
      </c>
    </row>
    <row r="62" spans="1:11" ht="103.95" customHeight="1">
      <c r="A62" s="3" t="s">
        <v>353</v>
      </c>
      <c r="B62" s="2" t="s">
        <v>345</v>
      </c>
      <c r="C62" s="2" t="s">
        <v>46</v>
      </c>
      <c r="D62" s="2" t="s">
        <v>325</v>
      </c>
      <c r="E62" s="2" t="s">
        <v>354</v>
      </c>
      <c r="F62" s="2" t="s">
        <v>355</v>
      </c>
      <c r="G62" s="2" t="s">
        <v>356</v>
      </c>
      <c r="H62" s="2" t="s">
        <v>16</v>
      </c>
      <c r="I62" s="2" t="s">
        <v>37</v>
      </c>
      <c r="J62" s="2"/>
      <c r="K62" s="2" t="s">
        <v>199</v>
      </c>
    </row>
    <row r="63" spans="1:11" ht="103.95" customHeight="1">
      <c r="A63" s="3" t="s">
        <v>357</v>
      </c>
      <c r="B63" s="2" t="s">
        <v>358</v>
      </c>
      <c r="C63" s="2" t="s">
        <v>46</v>
      </c>
      <c r="D63" s="2" t="s">
        <v>91</v>
      </c>
      <c r="E63" s="2" t="s">
        <v>359</v>
      </c>
      <c r="F63" s="2" t="s">
        <v>360</v>
      </c>
      <c r="G63" s="2" t="s">
        <v>361</v>
      </c>
      <c r="H63" s="2" t="s">
        <v>17</v>
      </c>
      <c r="I63" s="2" t="s">
        <v>39</v>
      </c>
      <c r="J63" s="2"/>
      <c r="K63" s="2" t="s">
        <v>199</v>
      </c>
    </row>
    <row r="64" spans="1:11" ht="103.95" customHeight="1">
      <c r="A64" s="3" t="s">
        <v>362</v>
      </c>
      <c r="B64" s="2" t="s">
        <v>358</v>
      </c>
      <c r="C64" s="2" t="s">
        <v>46</v>
      </c>
      <c r="D64" s="2" t="s">
        <v>91</v>
      </c>
      <c r="E64" s="2" t="s">
        <v>363</v>
      </c>
      <c r="F64" s="2" t="s">
        <v>364</v>
      </c>
      <c r="G64" s="2" t="s">
        <v>365</v>
      </c>
      <c r="H64" s="2" t="s">
        <v>17</v>
      </c>
      <c r="I64" s="2" t="s">
        <v>39</v>
      </c>
      <c r="J64" s="2" t="s">
        <v>366</v>
      </c>
      <c r="K64" s="2" t="s">
        <v>52</v>
      </c>
    </row>
    <row r="65" spans="1:11" ht="103.95" customHeight="1">
      <c r="A65" s="3" t="s">
        <v>367</v>
      </c>
      <c r="B65" s="2" t="s">
        <v>358</v>
      </c>
      <c r="C65" s="2" t="s">
        <v>46</v>
      </c>
      <c r="D65" s="2" t="s">
        <v>91</v>
      </c>
      <c r="E65" s="2" t="s">
        <v>368</v>
      </c>
      <c r="F65" s="2" t="s">
        <v>369</v>
      </c>
      <c r="G65" s="2" t="s">
        <v>370</v>
      </c>
      <c r="H65" s="2" t="s">
        <v>17</v>
      </c>
      <c r="I65" s="2" t="s">
        <v>39</v>
      </c>
      <c r="J65" s="2" t="s">
        <v>371</v>
      </c>
      <c r="K65" s="2" t="s">
        <v>52</v>
      </c>
    </row>
    <row r="66" spans="1:11" ht="103.95" customHeight="1">
      <c r="A66" s="3" t="s">
        <v>372</v>
      </c>
      <c r="B66" s="2" t="s">
        <v>373</v>
      </c>
      <c r="C66" s="2" t="s">
        <v>46</v>
      </c>
      <c r="D66" s="2" t="s">
        <v>103</v>
      </c>
      <c r="E66" s="2" t="s">
        <v>374</v>
      </c>
      <c r="F66" s="2" t="s">
        <v>375</v>
      </c>
      <c r="G66" s="2" t="s">
        <v>376</v>
      </c>
      <c r="H66" s="2" t="s">
        <v>17</v>
      </c>
      <c r="I66" s="2" t="s">
        <v>39</v>
      </c>
      <c r="J66" s="2"/>
      <c r="K66" s="2" t="s">
        <v>199</v>
      </c>
    </row>
    <row r="67" spans="1:11" ht="103.95" customHeight="1">
      <c r="A67" s="3" t="s">
        <v>377</v>
      </c>
      <c r="B67" s="2" t="s">
        <v>373</v>
      </c>
      <c r="C67" s="2" t="s">
        <v>46</v>
      </c>
      <c r="D67" s="2" t="s">
        <v>103</v>
      </c>
      <c r="E67" s="2" t="s">
        <v>378</v>
      </c>
      <c r="F67" s="2" t="s">
        <v>379</v>
      </c>
      <c r="G67" s="2" t="s">
        <v>380</v>
      </c>
      <c r="H67" s="2" t="s">
        <v>17</v>
      </c>
      <c r="I67" s="2" t="s">
        <v>39</v>
      </c>
      <c r="J67" s="2"/>
      <c r="K67" s="2" t="s">
        <v>199</v>
      </c>
    </row>
    <row r="68" spans="1:11" ht="103.95" customHeight="1">
      <c r="A68" s="3" t="s">
        <v>381</v>
      </c>
      <c r="B68" s="2" t="s">
        <v>382</v>
      </c>
      <c r="C68" s="2" t="s">
        <v>46</v>
      </c>
      <c r="D68" s="2" t="s">
        <v>103</v>
      </c>
      <c r="E68" s="2" t="s">
        <v>383</v>
      </c>
      <c r="F68" s="2" t="s">
        <v>384</v>
      </c>
      <c r="G68" s="2" t="s">
        <v>385</v>
      </c>
      <c r="H68" s="2" t="s">
        <v>17</v>
      </c>
      <c r="I68" s="2" t="s">
        <v>39</v>
      </c>
      <c r="J68" s="2"/>
      <c r="K68" s="2" t="s">
        <v>199</v>
      </c>
    </row>
    <row r="69" spans="1:11" ht="103.95" customHeight="1">
      <c r="A69" s="3" t="s">
        <v>386</v>
      </c>
      <c r="B69" s="2" t="s">
        <v>387</v>
      </c>
      <c r="C69" s="2" t="s">
        <v>46</v>
      </c>
      <c r="D69" s="2" t="s">
        <v>54</v>
      </c>
      <c r="E69" s="2" t="s">
        <v>388</v>
      </c>
      <c r="F69" s="2" t="s">
        <v>389</v>
      </c>
      <c r="G69" s="2" t="s">
        <v>390</v>
      </c>
      <c r="H69" s="2" t="s">
        <v>17</v>
      </c>
      <c r="I69" s="2" t="s">
        <v>39</v>
      </c>
      <c r="J69" s="2"/>
      <c r="K69" s="2" t="s">
        <v>199</v>
      </c>
    </row>
    <row r="70" spans="1:11" ht="103.95" customHeight="1">
      <c r="A70" s="3" t="s">
        <v>391</v>
      </c>
      <c r="B70" s="2" t="s">
        <v>387</v>
      </c>
      <c r="C70" s="2" t="s">
        <v>46</v>
      </c>
      <c r="D70" s="2" t="s">
        <v>54</v>
      </c>
      <c r="E70" s="2" t="s">
        <v>392</v>
      </c>
      <c r="F70" s="2" t="s">
        <v>393</v>
      </c>
      <c r="G70" s="2" t="s">
        <v>394</v>
      </c>
      <c r="H70" s="2" t="s">
        <v>17</v>
      </c>
      <c r="I70" s="2" t="s">
        <v>39</v>
      </c>
      <c r="J70" s="2"/>
      <c r="K70" s="2" t="s">
        <v>199</v>
      </c>
    </row>
    <row r="71" spans="1:11" ht="103.95" customHeight="1">
      <c r="A71" s="3" t="s">
        <v>395</v>
      </c>
      <c r="B71" s="2" t="s">
        <v>396</v>
      </c>
      <c r="C71" s="2" t="s">
        <v>46</v>
      </c>
      <c r="D71" s="2" t="s">
        <v>103</v>
      </c>
      <c r="E71" s="2" t="s">
        <v>397</v>
      </c>
      <c r="F71" s="2" t="s">
        <v>398</v>
      </c>
      <c r="G71" s="2" t="s">
        <v>399</v>
      </c>
      <c r="H71" s="2" t="s">
        <v>17</v>
      </c>
      <c r="I71" s="2" t="s">
        <v>41</v>
      </c>
      <c r="J71" s="2"/>
      <c r="K71" s="2" t="s">
        <v>199</v>
      </c>
    </row>
    <row r="72" spans="1:11" ht="103.95" customHeight="1">
      <c r="A72" s="3" t="s">
        <v>400</v>
      </c>
      <c r="B72" s="2" t="s">
        <v>401</v>
      </c>
      <c r="C72" s="2" t="s">
        <v>46</v>
      </c>
      <c r="D72" s="2" t="s">
        <v>402</v>
      </c>
      <c r="E72" s="2" t="s">
        <v>403</v>
      </c>
      <c r="F72" s="2" t="s">
        <v>404</v>
      </c>
      <c r="G72" s="2" t="s">
        <v>405</v>
      </c>
      <c r="H72" s="2" t="s">
        <v>17</v>
      </c>
      <c r="I72" s="2" t="s">
        <v>41</v>
      </c>
      <c r="J72" s="2"/>
      <c r="K72" s="2" t="s">
        <v>199</v>
      </c>
    </row>
    <row r="73" spans="1:11" ht="103.95" customHeight="1">
      <c r="A73" s="3" t="s">
        <v>406</v>
      </c>
      <c r="B73" s="2" t="s">
        <v>407</v>
      </c>
      <c r="C73" s="2" t="s">
        <v>46</v>
      </c>
      <c r="D73" s="2" t="s">
        <v>103</v>
      </c>
      <c r="E73" s="2" t="s">
        <v>408</v>
      </c>
      <c r="F73" s="2" t="s">
        <v>409</v>
      </c>
      <c r="G73" s="2" t="s">
        <v>410</v>
      </c>
      <c r="H73" s="2" t="s">
        <v>17</v>
      </c>
      <c r="I73" s="2" t="s">
        <v>41</v>
      </c>
      <c r="J73" s="2"/>
      <c r="K73" s="2" t="s">
        <v>199</v>
      </c>
    </row>
    <row r="74" spans="1:11" ht="103.95" customHeight="1">
      <c r="A74" s="3" t="s">
        <v>411</v>
      </c>
      <c r="B74" s="2" t="s">
        <v>90</v>
      </c>
      <c r="C74" s="2" t="s">
        <v>46</v>
      </c>
      <c r="D74" s="2" t="s">
        <v>412</v>
      </c>
      <c r="E74" s="2" t="s">
        <v>413</v>
      </c>
      <c r="F74" s="2" t="s">
        <v>414</v>
      </c>
      <c r="G74" s="2" t="s">
        <v>415</v>
      </c>
      <c r="H74" s="2" t="s">
        <v>15</v>
      </c>
      <c r="I74" s="2" t="s">
        <v>26</v>
      </c>
      <c r="J74" s="2" t="s">
        <v>416</v>
      </c>
      <c r="K74" s="2" t="s">
        <v>52</v>
      </c>
    </row>
    <row r="75" spans="1:11" ht="103.95" customHeight="1">
      <c r="A75" s="3" t="s">
        <v>417</v>
      </c>
      <c r="B75" s="2" t="s">
        <v>90</v>
      </c>
      <c r="C75" s="2" t="s">
        <v>46</v>
      </c>
      <c r="D75" s="2" t="s">
        <v>65</v>
      </c>
      <c r="E75" s="2" t="s">
        <v>418</v>
      </c>
      <c r="F75" s="2" t="s">
        <v>419</v>
      </c>
      <c r="G75" s="2" t="s">
        <v>420</v>
      </c>
      <c r="H75" s="2" t="s">
        <v>15</v>
      </c>
      <c r="I75" s="2" t="s">
        <v>26</v>
      </c>
      <c r="J75" s="2" t="s">
        <v>421</v>
      </c>
      <c r="K75" s="2" t="s">
        <v>52</v>
      </c>
    </row>
    <row r="76" spans="1:11" ht="103.95" customHeight="1">
      <c r="A76" s="3" t="s">
        <v>422</v>
      </c>
      <c r="B76" s="2" t="s">
        <v>109</v>
      </c>
      <c r="C76" s="2" t="s">
        <v>46</v>
      </c>
      <c r="D76" s="2" t="s">
        <v>110</v>
      </c>
      <c r="E76" s="2" t="s">
        <v>423</v>
      </c>
      <c r="F76" s="2" t="s">
        <v>424</v>
      </c>
      <c r="G76" s="2" t="s">
        <v>425</v>
      </c>
      <c r="H76" s="2" t="s">
        <v>16</v>
      </c>
      <c r="I76" s="2" t="s">
        <v>26</v>
      </c>
      <c r="J76" s="2" t="s">
        <v>426</v>
      </c>
      <c r="K76" s="2" t="s">
        <v>52</v>
      </c>
    </row>
    <row r="77" spans="1:11" ht="103.95" customHeight="1">
      <c r="A77" s="3" t="s">
        <v>427</v>
      </c>
      <c r="B77" s="2" t="s">
        <v>109</v>
      </c>
      <c r="C77" s="2" t="s">
        <v>46</v>
      </c>
      <c r="D77" s="2" t="s">
        <v>110</v>
      </c>
      <c r="E77" s="2" t="s">
        <v>428</v>
      </c>
      <c r="F77" s="2" t="s">
        <v>429</v>
      </c>
      <c r="G77" s="2" t="s">
        <v>430</v>
      </c>
      <c r="H77" s="2" t="s">
        <v>16</v>
      </c>
      <c r="I77" s="2" t="s">
        <v>26</v>
      </c>
      <c r="J77" s="2" t="s">
        <v>431</v>
      </c>
      <c r="K77" s="2" t="s">
        <v>52</v>
      </c>
    </row>
    <row r="78" spans="1:11" ht="103.95" customHeight="1">
      <c r="A78" s="3" t="s">
        <v>432</v>
      </c>
      <c r="B78" s="2" t="s">
        <v>109</v>
      </c>
      <c r="C78" s="2" t="s">
        <v>46</v>
      </c>
      <c r="D78" s="2" t="s">
        <v>110</v>
      </c>
      <c r="E78" s="2" t="s">
        <v>433</v>
      </c>
      <c r="F78" s="2" t="s">
        <v>434</v>
      </c>
      <c r="G78" s="2" t="s">
        <v>435</v>
      </c>
      <c r="H78" s="2" t="s">
        <v>16</v>
      </c>
      <c r="I78" s="2" t="s">
        <v>26</v>
      </c>
      <c r="J78" s="2" t="s">
        <v>436</v>
      </c>
      <c r="K78" s="2" t="s">
        <v>52</v>
      </c>
    </row>
    <row r="79" spans="1:11" ht="103.95" customHeight="1">
      <c r="A79" s="3" t="s">
        <v>437</v>
      </c>
      <c r="B79" s="2" t="s">
        <v>109</v>
      </c>
      <c r="C79" s="2" t="s">
        <v>46</v>
      </c>
      <c r="D79" s="2" t="s">
        <v>110</v>
      </c>
      <c r="E79" s="2" t="s">
        <v>438</v>
      </c>
      <c r="F79" s="2" t="s">
        <v>439</v>
      </c>
      <c r="G79" s="2" t="s">
        <v>440</v>
      </c>
      <c r="H79" s="2" t="s">
        <v>16</v>
      </c>
      <c r="I79" s="2" t="s">
        <v>26</v>
      </c>
      <c r="J79" s="2" t="s">
        <v>441</v>
      </c>
      <c r="K79" s="2" t="s">
        <v>52</v>
      </c>
    </row>
    <row r="80" spans="1:11" ht="103.95" customHeight="1">
      <c r="A80" s="3" t="s">
        <v>442</v>
      </c>
      <c r="B80" s="2" t="s">
        <v>109</v>
      </c>
      <c r="C80" s="2" t="s">
        <v>46</v>
      </c>
      <c r="D80" s="2" t="s">
        <v>443</v>
      </c>
      <c r="E80" s="2" t="s">
        <v>444</v>
      </c>
      <c r="F80" s="2" t="s">
        <v>445</v>
      </c>
      <c r="G80" s="2" t="s">
        <v>446</v>
      </c>
      <c r="H80" s="2" t="s">
        <v>16</v>
      </c>
      <c r="I80" s="2" t="s">
        <v>26</v>
      </c>
      <c r="J80" s="2" t="s">
        <v>447</v>
      </c>
      <c r="K80" s="2" t="s">
        <v>52</v>
      </c>
    </row>
    <row r="81" spans="1:11" ht="103.95" customHeight="1">
      <c r="A81" s="3" t="s">
        <v>448</v>
      </c>
      <c r="B81" s="2" t="s">
        <v>169</v>
      </c>
      <c r="C81" s="2" t="s">
        <v>46</v>
      </c>
      <c r="D81" s="2" t="s">
        <v>103</v>
      </c>
      <c r="E81" s="2" t="s">
        <v>449</v>
      </c>
      <c r="F81" s="2" t="s">
        <v>450</v>
      </c>
      <c r="G81" s="2" t="s">
        <v>451</v>
      </c>
      <c r="H81" s="2" t="s">
        <v>15</v>
      </c>
      <c r="I81" s="2" t="s">
        <v>28</v>
      </c>
      <c r="J81" s="2" t="s">
        <v>452</v>
      </c>
      <c r="K81" s="2" t="s">
        <v>52</v>
      </c>
    </row>
    <row r="82" spans="1:11" ht="103.95" hidden="1" customHeight="1">
      <c r="A82" s="3" t="s">
        <v>453</v>
      </c>
      <c r="B82" s="2" t="s">
        <v>169</v>
      </c>
      <c r="C82" s="2" t="s">
        <v>82</v>
      </c>
      <c r="D82" s="2" t="s">
        <v>454</v>
      </c>
      <c r="E82" s="2" t="s">
        <v>455</v>
      </c>
      <c r="F82" s="2" t="s">
        <v>456</v>
      </c>
      <c r="G82" s="2" t="s">
        <v>457</v>
      </c>
      <c r="H82" s="2" t="s">
        <v>15</v>
      </c>
      <c r="I82" s="2" t="s">
        <v>28</v>
      </c>
      <c r="J82" s="2" t="s">
        <v>458</v>
      </c>
      <c r="K82" s="2" t="s">
        <v>88</v>
      </c>
    </row>
    <row r="83" spans="1:11" ht="67.95" customHeight="1">
      <c r="A83" s="6" t="s">
        <v>459</v>
      </c>
      <c r="B83" s="6" t="s">
        <v>109</v>
      </c>
      <c r="C83" s="6" t="s">
        <v>46</v>
      </c>
      <c r="D83" s="7" t="s">
        <v>443</v>
      </c>
      <c r="E83" s="7" t="s">
        <v>460</v>
      </c>
      <c r="F83" s="7" t="s">
        <v>461</v>
      </c>
      <c r="G83" s="7" t="s">
        <v>462</v>
      </c>
      <c r="H83" s="6" t="s">
        <v>16</v>
      </c>
      <c r="I83" s="6" t="s">
        <v>32</v>
      </c>
      <c r="J83" s="7" t="s">
        <v>463</v>
      </c>
      <c r="K83" s="6" t="s">
        <v>52</v>
      </c>
    </row>
    <row r="84" spans="1:11" ht="67.95" customHeight="1">
      <c r="A84" s="6" t="s">
        <v>464</v>
      </c>
      <c r="B84" s="6" t="s">
        <v>465</v>
      </c>
      <c r="C84" s="6" t="s">
        <v>46</v>
      </c>
      <c r="D84" s="7" t="s">
        <v>103</v>
      </c>
      <c r="E84" s="7" t="s">
        <v>466</v>
      </c>
      <c r="F84" s="7" t="s">
        <v>467</v>
      </c>
      <c r="G84" s="7" t="s">
        <v>468</v>
      </c>
      <c r="H84" s="6" t="s">
        <v>17</v>
      </c>
      <c r="I84" s="6" t="s">
        <v>41</v>
      </c>
      <c r="J84" s="7" t="s">
        <v>469</v>
      </c>
      <c r="K84" s="6" t="s">
        <v>199</v>
      </c>
    </row>
    <row r="85" spans="1:11" ht="67.95" customHeight="1">
      <c r="A85" s="6" t="s">
        <v>470</v>
      </c>
      <c r="B85" s="6" t="s">
        <v>471</v>
      </c>
      <c r="C85" s="6" t="s">
        <v>46</v>
      </c>
      <c r="D85" s="7" t="s">
        <v>103</v>
      </c>
      <c r="E85" s="7" t="s">
        <v>472</v>
      </c>
      <c r="F85" s="7" t="s">
        <v>473</v>
      </c>
      <c r="G85" s="7" t="s">
        <v>474</v>
      </c>
      <c r="H85" s="6" t="s">
        <v>17</v>
      </c>
      <c r="I85" s="6" t="s">
        <v>41</v>
      </c>
      <c r="J85" s="7" t="s">
        <v>475</v>
      </c>
      <c r="K85" s="6" t="s">
        <v>199</v>
      </c>
    </row>
    <row r="86" spans="1:11" ht="67.95" customHeight="1">
      <c r="A86" s="6" t="s">
        <v>476</v>
      </c>
      <c r="B86" s="6" t="s">
        <v>373</v>
      </c>
      <c r="C86" s="6" t="s">
        <v>46</v>
      </c>
      <c r="D86" s="7" t="s">
        <v>103</v>
      </c>
      <c r="E86" s="7" t="s">
        <v>477</v>
      </c>
      <c r="F86" s="7" t="s">
        <v>478</v>
      </c>
      <c r="G86" s="7" t="s">
        <v>479</v>
      </c>
      <c r="H86" s="6" t="s">
        <v>17</v>
      </c>
      <c r="I86" s="6" t="s">
        <v>39</v>
      </c>
      <c r="J86" s="7" t="s">
        <v>480</v>
      </c>
      <c r="K86" s="6" t="s">
        <v>199</v>
      </c>
    </row>
  </sheetData>
  <conditionalFormatting sqref="H2:H70">
    <cfRule type="expression" dxfId="19" priority="4">
      <formula>H2="Must Have"</formula>
    </cfRule>
    <cfRule type="expression" dxfId="18" priority="5">
      <formula>H2="Should Have"</formula>
    </cfRule>
    <cfRule type="expression" dxfId="17" priority="6">
      <formula>H2="Could Have"</formula>
    </cfRule>
  </conditionalFormatting>
  <conditionalFormatting sqref="H71:H82">
    <cfRule type="expression" dxfId="16" priority="7">
      <formula>H2="Must Have"</formula>
    </cfRule>
    <cfRule type="expression" dxfId="15" priority="7">
      <formula>H2="Should Have"</formula>
    </cfRule>
    <cfRule type="expression" dxfId="14" priority="7">
      <formula>H2="Could Have"</formula>
    </cfRule>
  </conditionalFormatting>
  <conditionalFormatting sqref="K2:K73">
    <cfRule type="expression" dxfId="13" priority="1">
      <formula>K2="Done"</formula>
    </cfRule>
    <cfRule type="expression" dxfId="12" priority="2">
      <formula>K2="In Progress"</formula>
    </cfRule>
    <cfRule type="expression" dxfId="11" priority="3">
      <formula>K2="Blocked"</formula>
    </cfRule>
  </conditionalFormatting>
  <conditionalFormatting sqref="K74:K82">
    <cfRule type="expression" dxfId="10" priority="8">
      <formula>K5="Done"</formula>
    </cfRule>
    <cfRule type="expression" dxfId="9" priority="8">
      <formula>K5="In Progress"</formula>
    </cfRule>
    <cfRule type="expression" dxfId="8" priority="8">
      <formula>K5="Blocked"</formula>
    </cfRule>
  </conditionalFormatting>
  <dataValidations count="2">
    <dataValidation type="list" sqref="H2:H86" xr:uid="{00000000-0002-0000-0000-000000000000}">
      <formula1>"Must Have,Should Have,Could Have"</formula1>
    </dataValidation>
    <dataValidation type="list" sqref="K2:K86" xr:uid="{00000000-0002-0000-0000-000001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7"/>
  <sheetViews>
    <sheetView workbookViewId="0">
      <pane ySplit="1" topLeftCell="A2" activePane="bottomLeft" state="frozen"/>
      <selection pane="bottomLeft"/>
    </sheetView>
  </sheetViews>
  <sheetFormatPr defaultRowHeight="13.8"/>
  <cols>
    <col min="1" max="1" width="27" customWidth="1"/>
    <col min="2" max="2" width="15" customWidth="1"/>
    <col min="3" max="3" width="43" customWidth="1"/>
    <col min="4" max="4" width="16" customWidth="1"/>
    <col min="5" max="6" width="18" customWidth="1"/>
  </cols>
  <sheetData>
    <row r="1" spans="1:6" ht="40.049999999999997" customHeight="1">
      <c r="A1" s="11" t="s">
        <v>11</v>
      </c>
      <c r="B1" s="12"/>
      <c r="C1" s="12"/>
      <c r="D1" s="12"/>
      <c r="E1" s="12"/>
      <c r="F1" s="12"/>
    </row>
    <row r="3" spans="1:6">
      <c r="A3" s="4" t="s">
        <v>12</v>
      </c>
      <c r="B3" s="4" t="s">
        <v>13</v>
      </c>
    </row>
    <row r="4" spans="1:6">
      <c r="A4" t="s">
        <v>14</v>
      </c>
      <c r="B4">
        <f>COUNTA('User Stories'!A2:A200)</f>
        <v>85</v>
      </c>
    </row>
    <row r="5" spans="1:6">
      <c r="A5" t="s">
        <v>15</v>
      </c>
      <c r="B5">
        <f>COUNTIF('User Stories'!H2:H200,"Must Have")</f>
        <v>49</v>
      </c>
    </row>
    <row r="6" spans="1:6">
      <c r="A6" t="s">
        <v>16</v>
      </c>
      <c r="B6">
        <f>COUNTIF('User Stories'!H2:H200,"Should Have")</f>
        <v>16</v>
      </c>
    </row>
    <row r="7" spans="1:6">
      <c r="A7" t="s">
        <v>17</v>
      </c>
      <c r="B7">
        <f>COUNTIF('User Stories'!H2:H200,"Could Have")</f>
        <v>20</v>
      </c>
    </row>
    <row r="8" spans="1:6">
      <c r="A8" t="s">
        <v>18</v>
      </c>
      <c r="B8">
        <f>COUNTIF('User Stories'!K2:K200,"Done")</f>
        <v>7</v>
      </c>
    </row>
    <row r="9" spans="1:6">
      <c r="A9" t="s">
        <v>19</v>
      </c>
      <c r="B9">
        <f>COUNTIF('User Stories'!K2:K200,"In Progress")</f>
        <v>41</v>
      </c>
    </row>
    <row r="10" spans="1:6">
      <c r="A10" s="4" t="s">
        <v>8</v>
      </c>
      <c r="B10" s="4" t="s">
        <v>20</v>
      </c>
      <c r="C10" s="4" t="s">
        <v>21</v>
      </c>
      <c r="D10" s="4" t="s">
        <v>22</v>
      </c>
    </row>
    <row r="11" spans="1:6">
      <c r="A11" t="s">
        <v>23</v>
      </c>
      <c r="B11">
        <f>COUNTIF('User Stories'!I2:I200,"M0 — Foundation")</f>
        <v>7</v>
      </c>
      <c r="C11" t="s">
        <v>24</v>
      </c>
      <c r="D11" t="s">
        <v>25</v>
      </c>
    </row>
    <row r="12" spans="1:6">
      <c r="A12" t="s">
        <v>26</v>
      </c>
      <c r="B12">
        <f>COUNTIF('User Stories'!I2:I200,"M1 — Core Library")</f>
        <v>19</v>
      </c>
      <c r="C12" t="s">
        <v>27</v>
      </c>
      <c r="D12" t="s">
        <v>25</v>
      </c>
    </row>
    <row r="13" spans="1:6">
      <c r="A13" t="s">
        <v>28</v>
      </c>
      <c r="B13">
        <f>COUNTIF('User Stories'!I2:I200,"M2 — Smart ISBN")</f>
        <v>13</v>
      </c>
      <c r="C13" t="s">
        <v>29</v>
      </c>
      <c r="D13" t="s">
        <v>25</v>
      </c>
    </row>
    <row r="14" spans="1:6">
      <c r="A14" t="s">
        <v>30</v>
      </c>
      <c r="B14">
        <f>COUNTIF('User Stories'!I2:I200,"M3 — Mobile MVP")</f>
        <v>8</v>
      </c>
      <c r="C14" t="s">
        <v>31</v>
      </c>
      <c r="D14" t="s">
        <v>25</v>
      </c>
    </row>
    <row r="15" spans="1:6">
      <c r="A15" t="s">
        <v>32</v>
      </c>
      <c r="B15">
        <f>COUNTIF('User Stories'!I2:I200,"M4 — Organization")</f>
        <v>10</v>
      </c>
      <c r="C15" t="s">
        <v>33</v>
      </c>
      <c r="D15" t="s">
        <v>34</v>
      </c>
    </row>
    <row r="16" spans="1:6">
      <c r="A16" t="s">
        <v>35</v>
      </c>
      <c r="B16">
        <f>COUNTIF('User Stories'!I2:I200,"M5 — Bulk Import")</f>
        <v>5</v>
      </c>
      <c r="C16" t="s">
        <v>36</v>
      </c>
      <c r="D16" t="s">
        <v>34</v>
      </c>
    </row>
    <row r="17" spans="1:4">
      <c r="A17" t="s">
        <v>37</v>
      </c>
      <c r="B17">
        <f>COUNTIF('User Stories'!I2:I200,"M6 — Production")</f>
        <v>9</v>
      </c>
      <c r="C17" t="s">
        <v>38</v>
      </c>
      <c r="D17" t="s">
        <v>34</v>
      </c>
    </row>
    <row r="18" spans="1:4">
      <c r="A18" t="s">
        <v>39</v>
      </c>
      <c r="B18">
        <f>COUNTIF('User Stories'!I2:I200,"M7 — Social")</f>
        <v>9</v>
      </c>
      <c r="C18" t="s">
        <v>40</v>
      </c>
      <c r="D18" t="s">
        <v>34</v>
      </c>
    </row>
    <row r="19" spans="1:4">
      <c r="A19" t="s">
        <v>41</v>
      </c>
      <c r="B19">
        <f>COUNTIF('User Stories'!I2:I200,"Future")</f>
        <v>5</v>
      </c>
      <c r="C19" t="s">
        <v>42</v>
      </c>
      <c r="D19" t="s">
        <v>34</v>
      </c>
    </row>
    <row r="22" spans="1:4">
      <c r="A22" s="5" t="s">
        <v>43</v>
      </c>
    </row>
    <row r="23" spans="1:4">
      <c r="A23" t="s">
        <v>481</v>
      </c>
    </row>
    <row r="24" spans="1:4">
      <c r="A24" t="s">
        <v>482</v>
      </c>
    </row>
    <row r="25" spans="1:4">
      <c r="A25" t="s">
        <v>483</v>
      </c>
    </row>
    <row r="27" spans="1:4">
      <c r="A27" t="s">
        <v>484</v>
      </c>
    </row>
  </sheetData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"/>
  <sheetViews>
    <sheetView showGridLines="0" workbookViewId="0">
      <pane ySplit="1" topLeftCell="A2" activePane="bottomLeft" state="frozen"/>
      <selection pane="bottomLeft"/>
    </sheetView>
  </sheetViews>
  <sheetFormatPr defaultRowHeight="13.8"/>
  <cols>
    <col min="1" max="1" width="12" customWidth="1"/>
    <col min="2" max="2" width="25" customWidth="1"/>
    <col min="3" max="3" width="44" customWidth="1"/>
    <col min="4" max="4" width="28" customWidth="1"/>
    <col min="5" max="5" width="45" customWidth="1"/>
    <col min="6" max="6" width="12" customWidth="1"/>
    <col min="7" max="8" width="11" customWidth="1"/>
    <col min="9" max="9" width="12" customWidth="1"/>
    <col min="10" max="10" width="10" customWidth="1"/>
    <col min="11" max="11" width="12" customWidth="1"/>
    <col min="12" max="12" width="16" customWidth="1"/>
    <col min="13" max="13" width="48" customWidth="1"/>
  </cols>
  <sheetData>
    <row r="1" spans="1:13" ht="28.05" customHeight="1">
      <c r="A1" s="8" t="s">
        <v>485</v>
      </c>
      <c r="B1" s="8" t="s">
        <v>486</v>
      </c>
      <c r="C1" s="8" t="s">
        <v>487</v>
      </c>
      <c r="D1" s="8" t="s">
        <v>488</v>
      </c>
      <c r="E1" s="8" t="s">
        <v>489</v>
      </c>
      <c r="F1" s="8" t="s">
        <v>490</v>
      </c>
      <c r="G1" s="8" t="s">
        <v>491</v>
      </c>
      <c r="H1" s="8" t="s">
        <v>492</v>
      </c>
      <c r="I1" s="8" t="s">
        <v>52</v>
      </c>
      <c r="J1" s="8" t="s">
        <v>493</v>
      </c>
      <c r="K1" s="8" t="s">
        <v>199</v>
      </c>
      <c r="L1" s="8" t="s">
        <v>494</v>
      </c>
      <c r="M1" s="8" t="s">
        <v>495</v>
      </c>
    </row>
    <row r="2" spans="1:13" ht="46.05" customHeight="1">
      <c r="A2" s="6" t="s">
        <v>496</v>
      </c>
      <c r="B2" s="7" t="s">
        <v>497</v>
      </c>
      <c r="C2" s="7" t="s">
        <v>498</v>
      </c>
      <c r="D2" s="7" t="s">
        <v>23</v>
      </c>
      <c r="E2" s="7" t="s">
        <v>499</v>
      </c>
      <c r="F2" s="9">
        <v>7</v>
      </c>
      <c r="G2" s="9">
        <f>COUNTIF(Tasks!$B$2:$B$298,A2)</f>
        <v>26</v>
      </c>
      <c r="H2" s="9">
        <f>COUNTIFS(Tasks!$B$2:$B$298,A2,Tasks!$I$2:$I$298,"Done")</f>
        <v>13</v>
      </c>
      <c r="I2" s="9">
        <f>COUNTIFS(Tasks!$B$2:$B$298,A2,Tasks!$I$2:$I$298,"In Progress")</f>
        <v>3</v>
      </c>
      <c r="J2" s="9">
        <f>COUNTIFS(Tasks!$B$2:$B$298,A2,Tasks!$I$2:$I$298,"Blocked")</f>
        <v>0</v>
      </c>
      <c r="K2" s="9">
        <f>COUNTIFS(Tasks!$B$2:$B$298,A2,Tasks!$I$2:$I$298,"Not Started")</f>
        <v>10</v>
      </c>
      <c r="L2" s="9" t="str">
        <f t="shared" ref="L2:L13" si="0">IF(J2&gt;0,"Blocked",IF(H2=G2,"Done",IF(H2+I2&gt;0,"In Progress","Not Started")))</f>
        <v>In Progress</v>
      </c>
      <c r="M2" s="7" t="s">
        <v>500</v>
      </c>
    </row>
    <row r="3" spans="1:13" ht="46.05" customHeight="1">
      <c r="A3" s="6" t="s">
        <v>501</v>
      </c>
      <c r="B3" s="7" t="s">
        <v>502</v>
      </c>
      <c r="C3" s="7" t="s">
        <v>503</v>
      </c>
      <c r="D3" s="7" t="s">
        <v>26</v>
      </c>
      <c r="E3" s="7" t="s">
        <v>504</v>
      </c>
      <c r="F3" s="9">
        <v>5</v>
      </c>
      <c r="G3" s="9">
        <f>COUNTIF(Tasks!$B$2:$B$298,A3)</f>
        <v>19</v>
      </c>
      <c r="H3" s="9">
        <f>COUNTIFS(Tasks!$B$2:$B$298,A3,Tasks!$I$2:$I$298,"Done")</f>
        <v>9</v>
      </c>
      <c r="I3" s="9">
        <f>COUNTIFS(Tasks!$B$2:$B$298,A3,Tasks!$I$2:$I$298,"In Progress")</f>
        <v>3</v>
      </c>
      <c r="J3" s="9">
        <f>COUNTIFS(Tasks!$B$2:$B$298,A3,Tasks!$I$2:$I$298,"Blocked")</f>
        <v>0</v>
      </c>
      <c r="K3" s="9">
        <f>COUNTIFS(Tasks!$B$2:$B$298,A3,Tasks!$I$2:$I$298,"Not Started")</f>
        <v>7</v>
      </c>
      <c r="L3" s="9" t="str">
        <f t="shared" si="0"/>
        <v>In Progress</v>
      </c>
      <c r="M3" s="7" t="s">
        <v>505</v>
      </c>
    </row>
    <row r="4" spans="1:13" ht="46.05" customHeight="1">
      <c r="A4" s="6" t="s">
        <v>506</v>
      </c>
      <c r="B4" s="7" t="s">
        <v>507</v>
      </c>
      <c r="C4" s="7" t="s">
        <v>508</v>
      </c>
      <c r="D4" s="7" t="s">
        <v>509</v>
      </c>
      <c r="E4" s="7" t="s">
        <v>510</v>
      </c>
      <c r="F4" s="9">
        <v>12</v>
      </c>
      <c r="G4" s="9">
        <f>COUNTIF(Tasks!$B$2:$B$298,A4)</f>
        <v>46</v>
      </c>
      <c r="H4" s="9">
        <f>COUNTIFS(Tasks!$B$2:$B$298,A4,Tasks!$I$2:$I$298,"Done")</f>
        <v>22</v>
      </c>
      <c r="I4" s="9">
        <f>COUNTIFS(Tasks!$B$2:$B$298,A4,Tasks!$I$2:$I$298,"In Progress")</f>
        <v>0</v>
      </c>
      <c r="J4" s="9">
        <f>COUNTIFS(Tasks!$B$2:$B$298,A4,Tasks!$I$2:$I$298,"Blocked")</f>
        <v>0</v>
      </c>
      <c r="K4" s="9">
        <f>COUNTIFS(Tasks!$B$2:$B$298,A4,Tasks!$I$2:$I$298,"Not Started")</f>
        <v>24</v>
      </c>
      <c r="L4" s="9" t="str">
        <f t="shared" si="0"/>
        <v>In Progress</v>
      </c>
      <c r="M4" s="7" t="s">
        <v>511</v>
      </c>
    </row>
    <row r="5" spans="1:13" ht="46.05" customHeight="1">
      <c r="A5" s="6" t="s">
        <v>512</v>
      </c>
      <c r="B5" s="7" t="s">
        <v>513</v>
      </c>
      <c r="C5" s="7" t="s">
        <v>514</v>
      </c>
      <c r="D5" s="7" t="s">
        <v>509</v>
      </c>
      <c r="E5" s="7" t="s">
        <v>515</v>
      </c>
      <c r="F5" s="9">
        <v>6</v>
      </c>
      <c r="G5" s="9">
        <f>COUNTIF(Tasks!$B$2:$B$298,A5)</f>
        <v>24</v>
      </c>
      <c r="H5" s="9">
        <f>COUNTIFS(Tasks!$B$2:$B$298,A5,Tasks!$I$2:$I$298,"Done")</f>
        <v>6</v>
      </c>
      <c r="I5" s="9">
        <f>COUNTIFS(Tasks!$B$2:$B$298,A5,Tasks!$I$2:$I$298,"In Progress")</f>
        <v>0</v>
      </c>
      <c r="J5" s="9">
        <f>COUNTIFS(Tasks!$B$2:$B$298,A5,Tasks!$I$2:$I$298,"Blocked")</f>
        <v>0</v>
      </c>
      <c r="K5" s="9">
        <f>COUNTIFS(Tasks!$B$2:$B$298,A5,Tasks!$I$2:$I$298,"Not Started")</f>
        <v>18</v>
      </c>
      <c r="L5" s="9" t="str">
        <f t="shared" si="0"/>
        <v>In Progress</v>
      </c>
      <c r="M5" s="7" t="s">
        <v>516</v>
      </c>
    </row>
    <row r="6" spans="1:13" ht="46.05" customHeight="1">
      <c r="A6" s="6" t="s">
        <v>517</v>
      </c>
      <c r="B6" s="7" t="s">
        <v>518</v>
      </c>
      <c r="C6" s="7" t="s">
        <v>519</v>
      </c>
      <c r="D6" s="7" t="s">
        <v>28</v>
      </c>
      <c r="E6" s="7" t="s">
        <v>520</v>
      </c>
      <c r="F6" s="9">
        <v>10</v>
      </c>
      <c r="G6" s="9">
        <f>COUNTIF(Tasks!$B$2:$B$298,A6)</f>
        <v>31</v>
      </c>
      <c r="H6" s="9">
        <f>COUNTIFS(Tasks!$B$2:$B$298,A6,Tasks!$I$2:$I$298,"Done")</f>
        <v>18</v>
      </c>
      <c r="I6" s="9">
        <f>COUNTIFS(Tasks!$B$2:$B$298,A6,Tasks!$I$2:$I$298,"In Progress")</f>
        <v>3</v>
      </c>
      <c r="J6" s="9">
        <f>COUNTIFS(Tasks!$B$2:$B$298,A6,Tasks!$I$2:$I$298,"Blocked")</f>
        <v>0</v>
      </c>
      <c r="K6" s="9">
        <f>COUNTIFS(Tasks!$B$2:$B$298,A6,Tasks!$I$2:$I$298,"Not Started")</f>
        <v>10</v>
      </c>
      <c r="L6" s="9" t="str">
        <f t="shared" si="0"/>
        <v>In Progress</v>
      </c>
      <c r="M6" s="7" t="s">
        <v>521</v>
      </c>
    </row>
    <row r="7" spans="1:13" ht="46.05" customHeight="1">
      <c r="A7" s="6" t="s">
        <v>522</v>
      </c>
      <c r="B7" s="7" t="s">
        <v>523</v>
      </c>
      <c r="C7" s="7" t="s">
        <v>524</v>
      </c>
      <c r="D7" s="7" t="s">
        <v>28</v>
      </c>
      <c r="E7" s="7" t="s">
        <v>525</v>
      </c>
      <c r="F7" s="9">
        <v>3</v>
      </c>
      <c r="G7" s="9">
        <f>COUNTIF(Tasks!$B$2:$B$298,A7)</f>
        <v>9</v>
      </c>
      <c r="H7" s="9">
        <f>COUNTIFS(Tasks!$B$2:$B$298,A7,Tasks!$I$2:$I$298,"Done")</f>
        <v>2</v>
      </c>
      <c r="I7" s="9">
        <f>COUNTIFS(Tasks!$B$2:$B$298,A7,Tasks!$I$2:$I$298,"In Progress")</f>
        <v>2</v>
      </c>
      <c r="J7" s="9">
        <f>COUNTIFS(Tasks!$B$2:$B$298,A7,Tasks!$I$2:$I$298,"Blocked")</f>
        <v>0</v>
      </c>
      <c r="K7" s="9">
        <f>COUNTIFS(Tasks!$B$2:$B$298,A7,Tasks!$I$2:$I$298,"Not Started")</f>
        <v>5</v>
      </c>
      <c r="L7" s="9" t="str">
        <f t="shared" si="0"/>
        <v>In Progress</v>
      </c>
      <c r="M7" s="7" t="s">
        <v>526</v>
      </c>
    </row>
    <row r="8" spans="1:13" ht="46.05" customHeight="1">
      <c r="A8" s="6" t="s">
        <v>527</v>
      </c>
      <c r="B8" s="7" t="s">
        <v>528</v>
      </c>
      <c r="C8" s="7" t="s">
        <v>529</v>
      </c>
      <c r="D8" s="7" t="s">
        <v>30</v>
      </c>
      <c r="E8" s="7" t="s">
        <v>530</v>
      </c>
      <c r="F8" s="9">
        <v>8</v>
      </c>
      <c r="G8" s="9">
        <f>COUNTIF(Tasks!$B$2:$B$298,A8)</f>
        <v>24</v>
      </c>
      <c r="H8" s="9">
        <f>COUNTIFS(Tasks!$B$2:$B$298,A8,Tasks!$I$2:$I$298,"Done")</f>
        <v>0</v>
      </c>
      <c r="I8" s="9">
        <f>COUNTIFS(Tasks!$B$2:$B$298,A8,Tasks!$I$2:$I$298,"In Progress")</f>
        <v>0</v>
      </c>
      <c r="J8" s="9">
        <f>COUNTIFS(Tasks!$B$2:$B$298,A8,Tasks!$I$2:$I$298,"Blocked")</f>
        <v>0</v>
      </c>
      <c r="K8" s="9">
        <f>COUNTIFS(Tasks!$B$2:$B$298,A8,Tasks!$I$2:$I$298,"Not Started")</f>
        <v>24</v>
      </c>
      <c r="L8" s="9" t="str">
        <f t="shared" si="0"/>
        <v>Not Started</v>
      </c>
      <c r="M8" s="7" t="s">
        <v>531</v>
      </c>
    </row>
    <row r="9" spans="1:13" ht="46.05" customHeight="1">
      <c r="A9" s="6" t="s">
        <v>532</v>
      </c>
      <c r="B9" s="7" t="s">
        <v>533</v>
      </c>
      <c r="C9" s="7" t="s">
        <v>534</v>
      </c>
      <c r="D9" s="7" t="s">
        <v>32</v>
      </c>
      <c r="E9" s="7" t="s">
        <v>535</v>
      </c>
      <c r="F9" s="9">
        <v>6</v>
      </c>
      <c r="G9" s="9">
        <f>COUNTIF(Tasks!$B$2:$B$298,A9)</f>
        <v>19</v>
      </c>
      <c r="H9" s="9">
        <f>COUNTIFS(Tasks!$B$2:$B$298,A9,Tasks!$I$2:$I$298,"Done")</f>
        <v>4</v>
      </c>
      <c r="I9" s="9">
        <f>COUNTIFS(Tasks!$B$2:$B$298,A9,Tasks!$I$2:$I$298,"In Progress")</f>
        <v>0</v>
      </c>
      <c r="J9" s="9">
        <f>COUNTIFS(Tasks!$B$2:$B$298,A9,Tasks!$I$2:$I$298,"Blocked")</f>
        <v>0</v>
      </c>
      <c r="K9" s="9">
        <f>COUNTIFS(Tasks!$B$2:$B$298,A9,Tasks!$I$2:$I$298,"Not Started")</f>
        <v>15</v>
      </c>
      <c r="L9" s="9" t="str">
        <f t="shared" si="0"/>
        <v>In Progress</v>
      </c>
      <c r="M9" s="7" t="s">
        <v>536</v>
      </c>
    </row>
    <row r="10" spans="1:13" ht="46.05" customHeight="1">
      <c r="A10" s="6" t="s">
        <v>537</v>
      </c>
      <c r="B10" s="7" t="s">
        <v>292</v>
      </c>
      <c r="C10" s="7" t="s">
        <v>538</v>
      </c>
      <c r="D10" s="7" t="s">
        <v>35</v>
      </c>
      <c r="E10" s="7" t="s">
        <v>539</v>
      </c>
      <c r="F10" s="9">
        <v>5</v>
      </c>
      <c r="G10" s="9">
        <f>COUNTIF(Tasks!$B$2:$B$298,A10)</f>
        <v>25</v>
      </c>
      <c r="H10" s="9">
        <f>COUNTIFS(Tasks!$B$2:$B$298,A10,Tasks!$I$2:$I$298,"Done")</f>
        <v>0</v>
      </c>
      <c r="I10" s="9">
        <f>COUNTIFS(Tasks!$B$2:$B$298,A10,Tasks!$I$2:$I$298,"In Progress")</f>
        <v>0</v>
      </c>
      <c r="J10" s="9">
        <f>COUNTIFS(Tasks!$B$2:$B$298,A10,Tasks!$I$2:$I$298,"Blocked")</f>
        <v>0</v>
      </c>
      <c r="K10" s="9">
        <f>COUNTIFS(Tasks!$B$2:$B$298,A10,Tasks!$I$2:$I$298,"Not Started")</f>
        <v>25</v>
      </c>
      <c r="L10" s="9" t="str">
        <f t="shared" si="0"/>
        <v>Not Started</v>
      </c>
      <c r="M10" s="7" t="s">
        <v>540</v>
      </c>
    </row>
    <row r="11" spans="1:13" ht="46.05" customHeight="1">
      <c r="A11" s="6" t="s">
        <v>541</v>
      </c>
      <c r="B11" s="7" t="s">
        <v>542</v>
      </c>
      <c r="C11" s="7" t="s">
        <v>543</v>
      </c>
      <c r="D11" s="7" t="s">
        <v>37</v>
      </c>
      <c r="E11" s="7" t="s">
        <v>544</v>
      </c>
      <c r="F11" s="9">
        <v>9</v>
      </c>
      <c r="G11" s="9">
        <f>COUNTIF(Tasks!$B$2:$B$298,A11)</f>
        <v>19</v>
      </c>
      <c r="H11" s="9">
        <f>COUNTIFS(Tasks!$B$2:$B$298,A11,Tasks!$I$2:$I$298,"Done")</f>
        <v>1</v>
      </c>
      <c r="I11" s="9">
        <f>COUNTIFS(Tasks!$B$2:$B$298,A11,Tasks!$I$2:$I$298,"In Progress")</f>
        <v>3</v>
      </c>
      <c r="J11" s="9">
        <f>COUNTIFS(Tasks!$B$2:$B$298,A11,Tasks!$I$2:$I$298,"Blocked")</f>
        <v>0</v>
      </c>
      <c r="K11" s="9">
        <f>COUNTIFS(Tasks!$B$2:$B$298,A11,Tasks!$I$2:$I$298,"Not Started")</f>
        <v>15</v>
      </c>
      <c r="L11" s="9" t="str">
        <f t="shared" si="0"/>
        <v>In Progress</v>
      </c>
      <c r="M11" s="7" t="s">
        <v>545</v>
      </c>
    </row>
    <row r="12" spans="1:13" ht="46.05" customHeight="1">
      <c r="A12" s="6" t="s">
        <v>546</v>
      </c>
      <c r="B12" s="7" t="s">
        <v>547</v>
      </c>
      <c r="C12" s="7" t="s">
        <v>548</v>
      </c>
      <c r="D12" s="7" t="s">
        <v>39</v>
      </c>
      <c r="E12" s="7" t="s">
        <v>549</v>
      </c>
      <c r="F12" s="9">
        <v>9</v>
      </c>
      <c r="G12" s="9">
        <f>COUNTIF(Tasks!$B$2:$B$298,A12)</f>
        <v>36</v>
      </c>
      <c r="H12" s="9">
        <f>COUNTIFS(Tasks!$B$2:$B$298,A12,Tasks!$I$2:$I$298,"Done")</f>
        <v>7</v>
      </c>
      <c r="I12" s="9">
        <f>COUNTIFS(Tasks!$B$2:$B$298,A12,Tasks!$I$2:$I$298,"In Progress")</f>
        <v>2</v>
      </c>
      <c r="J12" s="9">
        <f>COUNTIFS(Tasks!$B$2:$B$298,A12,Tasks!$I$2:$I$298,"Blocked")</f>
        <v>0</v>
      </c>
      <c r="K12" s="9">
        <f>COUNTIFS(Tasks!$B$2:$B$298,A12,Tasks!$I$2:$I$298,"Not Started")</f>
        <v>27</v>
      </c>
      <c r="L12" s="9" t="str">
        <f t="shared" si="0"/>
        <v>In Progress</v>
      </c>
      <c r="M12" s="7" t="s">
        <v>550</v>
      </c>
    </row>
    <row r="13" spans="1:13" ht="46.05" customHeight="1">
      <c r="A13" s="6" t="s">
        <v>551</v>
      </c>
      <c r="B13" s="7" t="s">
        <v>552</v>
      </c>
      <c r="C13" s="7" t="s">
        <v>553</v>
      </c>
      <c r="D13" s="7" t="s">
        <v>41</v>
      </c>
      <c r="E13" s="7" t="s">
        <v>554</v>
      </c>
      <c r="F13" s="9">
        <v>5</v>
      </c>
      <c r="G13" s="9">
        <f>COUNTIF(Tasks!$B$2:$B$298,A13)</f>
        <v>19</v>
      </c>
      <c r="H13" s="9">
        <f>COUNTIFS(Tasks!$B$2:$B$298,A13,Tasks!$I$2:$I$298,"Done")</f>
        <v>0</v>
      </c>
      <c r="I13" s="9">
        <f>COUNTIFS(Tasks!$B$2:$B$298,A13,Tasks!$I$2:$I$298,"In Progress")</f>
        <v>0</v>
      </c>
      <c r="J13" s="9">
        <f>COUNTIFS(Tasks!$B$2:$B$298,A13,Tasks!$I$2:$I$298,"Blocked")</f>
        <v>0</v>
      </c>
      <c r="K13" s="9">
        <f>COUNTIFS(Tasks!$B$2:$B$298,A13,Tasks!$I$2:$I$298,"Not Started")</f>
        <v>19</v>
      </c>
      <c r="L13" s="9" t="str">
        <f t="shared" si="0"/>
        <v>Not Started</v>
      </c>
      <c r="M13" s="7" t="s">
        <v>555</v>
      </c>
    </row>
  </sheetData>
  <conditionalFormatting sqref="L2:L13">
    <cfRule type="containsText" dxfId="7" priority="1" operator="containsText" text="Done"/>
    <cfRule type="containsText" dxfId="6" priority="2" operator="containsText" text="In Progress"/>
    <cfRule type="containsText" dxfId="5" priority="3" operator="containsText" text="Blocked"/>
    <cfRule type="containsText" dxfId="4" priority="4" operator="containsText" text="Not Started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98"/>
  <sheetViews>
    <sheetView showGridLines="0" workbookViewId="0">
      <pane ySplit="1" topLeftCell="A2" activePane="bottomLeft" state="frozen"/>
      <selection pane="bottomLeft" activeCell="E7" sqref="E7"/>
    </sheetView>
  </sheetViews>
  <sheetFormatPr defaultRowHeight="13.8"/>
  <cols>
    <col min="1" max="1" width="17" customWidth="1"/>
    <col min="2" max="2" width="11" customWidth="1"/>
    <col min="3" max="3" width="10" customWidth="1"/>
    <col min="4" max="4" width="22" customWidth="1"/>
    <col min="5" max="5" width="48" customWidth="1"/>
    <col min="6" max="6" width="64" customWidth="1"/>
    <col min="7" max="7" width="26" customWidth="1"/>
    <col min="8" max="8" width="15" customWidth="1"/>
    <col min="9" max="9" width="16" customWidth="1"/>
    <col min="10" max="10" width="30" customWidth="1"/>
    <col min="11" max="11" width="52" customWidth="1"/>
  </cols>
  <sheetData>
    <row r="1" spans="1:11" ht="28.05" customHeight="1">
      <c r="A1" s="8" t="s">
        <v>556</v>
      </c>
      <c r="B1" s="8" t="s">
        <v>485</v>
      </c>
      <c r="C1" s="8" t="s">
        <v>557</v>
      </c>
      <c r="D1" s="8" t="s">
        <v>558</v>
      </c>
      <c r="E1" s="8" t="s">
        <v>559</v>
      </c>
      <c r="F1" s="8" t="s">
        <v>560</v>
      </c>
      <c r="G1" s="8" t="s">
        <v>8</v>
      </c>
      <c r="H1" s="8" t="s">
        <v>7</v>
      </c>
      <c r="I1" s="8" t="s">
        <v>10</v>
      </c>
      <c r="J1" s="8" t="s">
        <v>561</v>
      </c>
      <c r="K1" s="8" t="s">
        <v>562</v>
      </c>
    </row>
    <row r="2" spans="1:11" ht="58.05" hidden="1" customHeight="1">
      <c r="A2" s="9" t="s">
        <v>563</v>
      </c>
      <c r="B2" s="9" t="s">
        <v>496</v>
      </c>
      <c r="C2" s="9" t="s">
        <v>44</v>
      </c>
      <c r="D2" s="9" t="s">
        <v>564</v>
      </c>
      <c r="E2" s="7" t="s">
        <v>565</v>
      </c>
      <c r="F2" s="7" t="s">
        <v>566</v>
      </c>
      <c r="G2" s="9" t="s">
        <v>23</v>
      </c>
      <c r="H2" s="9" t="s">
        <v>15</v>
      </c>
      <c r="I2" s="9" t="s">
        <v>88</v>
      </c>
      <c r="J2" s="10"/>
      <c r="K2" s="7" t="s">
        <v>51</v>
      </c>
    </row>
    <row r="3" spans="1:11" ht="58.05" hidden="1" customHeight="1">
      <c r="A3" s="9" t="s">
        <v>567</v>
      </c>
      <c r="B3" s="9" t="s">
        <v>496</v>
      </c>
      <c r="C3" s="9" t="s">
        <v>44</v>
      </c>
      <c r="D3" s="9" t="s">
        <v>568</v>
      </c>
      <c r="E3" s="7" t="s">
        <v>569</v>
      </c>
      <c r="F3" s="7" t="s">
        <v>570</v>
      </c>
      <c r="G3" s="9" t="s">
        <v>23</v>
      </c>
      <c r="H3" s="9" t="s">
        <v>15</v>
      </c>
      <c r="I3" s="9" t="s">
        <v>88</v>
      </c>
      <c r="J3" s="10" t="s">
        <v>563</v>
      </c>
      <c r="K3" s="7" t="s">
        <v>51</v>
      </c>
    </row>
    <row r="4" spans="1:11" ht="58.05" hidden="1" customHeight="1">
      <c r="A4" s="9" t="s">
        <v>571</v>
      </c>
      <c r="B4" s="9" t="s">
        <v>496</v>
      </c>
      <c r="C4" s="9" t="s">
        <v>44</v>
      </c>
      <c r="D4" s="9" t="s">
        <v>572</v>
      </c>
      <c r="E4" s="7" t="s">
        <v>573</v>
      </c>
      <c r="F4" s="7" t="s">
        <v>574</v>
      </c>
      <c r="G4" s="9" t="s">
        <v>23</v>
      </c>
      <c r="H4" s="9" t="s">
        <v>15</v>
      </c>
      <c r="I4" s="9" t="s">
        <v>199</v>
      </c>
      <c r="J4" s="10" t="s">
        <v>567</v>
      </c>
      <c r="K4" s="7" t="s">
        <v>575</v>
      </c>
    </row>
    <row r="5" spans="1:11" ht="58.05" hidden="1" customHeight="1">
      <c r="A5" s="9" t="s">
        <v>576</v>
      </c>
      <c r="B5" s="9" t="s">
        <v>496</v>
      </c>
      <c r="C5" s="9" t="s">
        <v>44</v>
      </c>
      <c r="D5" s="9" t="s">
        <v>577</v>
      </c>
      <c r="E5" s="7" t="s">
        <v>578</v>
      </c>
      <c r="F5" s="7" t="s">
        <v>579</v>
      </c>
      <c r="G5" s="9" t="s">
        <v>23</v>
      </c>
      <c r="H5" s="9" t="s">
        <v>15</v>
      </c>
      <c r="I5" s="9" t="s">
        <v>52</v>
      </c>
      <c r="J5" s="10" t="s">
        <v>580</v>
      </c>
      <c r="K5" s="7" t="s">
        <v>581</v>
      </c>
    </row>
    <row r="6" spans="1:11" ht="58.05" hidden="1" customHeight="1">
      <c r="A6" s="9" t="s">
        <v>582</v>
      </c>
      <c r="B6" s="9" t="s">
        <v>496</v>
      </c>
      <c r="C6" s="9" t="s">
        <v>53</v>
      </c>
      <c r="D6" s="9" t="s">
        <v>564</v>
      </c>
      <c r="E6" s="7" t="s">
        <v>583</v>
      </c>
      <c r="F6" s="7" t="s">
        <v>584</v>
      </c>
      <c r="G6" s="9" t="s">
        <v>23</v>
      </c>
      <c r="H6" s="9" t="s">
        <v>15</v>
      </c>
      <c r="I6" s="9" t="s">
        <v>88</v>
      </c>
      <c r="J6" s="10"/>
      <c r="K6" s="7" t="s">
        <v>58</v>
      </c>
    </row>
    <row r="7" spans="1:11" ht="58.05" hidden="1" customHeight="1">
      <c r="A7" s="9" t="s">
        <v>585</v>
      </c>
      <c r="B7" s="9" t="s">
        <v>496</v>
      </c>
      <c r="C7" s="9" t="s">
        <v>53</v>
      </c>
      <c r="D7" s="9" t="s">
        <v>568</v>
      </c>
      <c r="E7" s="7" t="s">
        <v>586</v>
      </c>
      <c r="F7" s="7" t="s">
        <v>587</v>
      </c>
      <c r="G7" s="9" t="s">
        <v>23</v>
      </c>
      <c r="H7" s="9" t="s">
        <v>15</v>
      </c>
      <c r="I7" s="9" t="s">
        <v>88</v>
      </c>
      <c r="J7" s="10" t="s">
        <v>582</v>
      </c>
      <c r="K7" s="7" t="s">
        <v>58</v>
      </c>
    </row>
    <row r="8" spans="1:11" ht="58.05" hidden="1" customHeight="1">
      <c r="A8" s="9" t="s">
        <v>588</v>
      </c>
      <c r="B8" s="9" t="s">
        <v>496</v>
      </c>
      <c r="C8" s="9" t="s">
        <v>53</v>
      </c>
      <c r="D8" s="9" t="s">
        <v>572</v>
      </c>
      <c r="E8" s="7" t="s">
        <v>589</v>
      </c>
      <c r="F8" s="7" t="s">
        <v>590</v>
      </c>
      <c r="G8" s="9" t="s">
        <v>23</v>
      </c>
      <c r="H8" s="9" t="s">
        <v>15</v>
      </c>
      <c r="I8" s="9" t="s">
        <v>199</v>
      </c>
      <c r="J8" s="10" t="s">
        <v>585</v>
      </c>
      <c r="K8" s="7" t="s">
        <v>575</v>
      </c>
    </row>
    <row r="9" spans="1:11" ht="58.05" hidden="1" customHeight="1">
      <c r="A9" s="9" t="s">
        <v>591</v>
      </c>
      <c r="B9" s="9" t="s">
        <v>496</v>
      </c>
      <c r="C9" s="9" t="s">
        <v>53</v>
      </c>
      <c r="D9" s="9" t="s">
        <v>577</v>
      </c>
      <c r="E9" s="7" t="s">
        <v>592</v>
      </c>
      <c r="F9" s="7" t="s">
        <v>593</v>
      </c>
      <c r="G9" s="9" t="s">
        <v>23</v>
      </c>
      <c r="H9" s="9" t="s">
        <v>15</v>
      </c>
      <c r="I9" s="9" t="s">
        <v>199</v>
      </c>
      <c r="J9" s="10" t="s">
        <v>594</v>
      </c>
      <c r="K9" s="7" t="s">
        <v>595</v>
      </c>
    </row>
    <row r="10" spans="1:11" ht="58.05" hidden="1" customHeight="1">
      <c r="A10" s="9" t="s">
        <v>596</v>
      </c>
      <c r="B10" s="9" t="s">
        <v>496</v>
      </c>
      <c r="C10" s="9" t="s">
        <v>59</v>
      </c>
      <c r="D10" s="9" t="s">
        <v>564</v>
      </c>
      <c r="E10" s="7" t="s">
        <v>597</v>
      </c>
      <c r="F10" s="7" t="s">
        <v>598</v>
      </c>
      <c r="G10" s="9" t="s">
        <v>23</v>
      </c>
      <c r="H10" s="9" t="s">
        <v>15</v>
      </c>
      <c r="I10" s="9" t="s">
        <v>88</v>
      </c>
      <c r="J10" s="10"/>
      <c r="K10" s="7" t="s">
        <v>63</v>
      </c>
    </row>
    <row r="11" spans="1:11" ht="58.05" hidden="1" customHeight="1">
      <c r="A11" s="9" t="s">
        <v>599</v>
      </c>
      <c r="B11" s="9" t="s">
        <v>496</v>
      </c>
      <c r="C11" s="9" t="s">
        <v>59</v>
      </c>
      <c r="D11" s="9" t="s">
        <v>568</v>
      </c>
      <c r="E11" s="7" t="s">
        <v>600</v>
      </c>
      <c r="F11" s="7" t="s">
        <v>601</v>
      </c>
      <c r="G11" s="9" t="s">
        <v>23</v>
      </c>
      <c r="H11" s="9" t="s">
        <v>15</v>
      </c>
      <c r="I11" s="9" t="s">
        <v>88</v>
      </c>
      <c r="J11" s="10" t="s">
        <v>596</v>
      </c>
      <c r="K11" s="7" t="s">
        <v>63</v>
      </c>
    </row>
    <row r="12" spans="1:11" ht="58.05" hidden="1" customHeight="1">
      <c r="A12" s="9" t="s">
        <v>602</v>
      </c>
      <c r="B12" s="9" t="s">
        <v>496</v>
      </c>
      <c r="C12" s="9" t="s">
        <v>59</v>
      </c>
      <c r="D12" s="9" t="s">
        <v>572</v>
      </c>
      <c r="E12" s="7" t="s">
        <v>603</v>
      </c>
      <c r="F12" s="7" t="s">
        <v>604</v>
      </c>
      <c r="G12" s="9" t="s">
        <v>23</v>
      </c>
      <c r="H12" s="9" t="s">
        <v>15</v>
      </c>
      <c r="I12" s="9" t="s">
        <v>199</v>
      </c>
      <c r="J12" s="10" t="s">
        <v>599</v>
      </c>
      <c r="K12" s="7" t="s">
        <v>575</v>
      </c>
    </row>
    <row r="13" spans="1:11" ht="58.05" hidden="1" customHeight="1">
      <c r="A13" s="9" t="s">
        <v>605</v>
      </c>
      <c r="B13" s="9" t="s">
        <v>496</v>
      </c>
      <c r="C13" s="9" t="s">
        <v>59</v>
      </c>
      <c r="D13" s="9" t="s">
        <v>577</v>
      </c>
      <c r="E13" s="7" t="s">
        <v>606</v>
      </c>
      <c r="F13" s="7" t="s">
        <v>607</v>
      </c>
      <c r="G13" s="9" t="s">
        <v>23</v>
      </c>
      <c r="H13" s="9" t="s">
        <v>15</v>
      </c>
      <c r="I13" s="9" t="s">
        <v>52</v>
      </c>
      <c r="J13" s="10" t="s">
        <v>608</v>
      </c>
      <c r="K13" s="7" t="s">
        <v>581</v>
      </c>
    </row>
    <row r="14" spans="1:11" ht="58.05" hidden="1" customHeight="1">
      <c r="A14" s="9" t="s">
        <v>609</v>
      </c>
      <c r="B14" s="9" t="s">
        <v>496</v>
      </c>
      <c r="C14" s="9" t="s">
        <v>64</v>
      </c>
      <c r="D14" s="9" t="s">
        <v>564</v>
      </c>
      <c r="E14" s="7" t="s">
        <v>610</v>
      </c>
      <c r="F14" s="7" t="s">
        <v>611</v>
      </c>
      <c r="G14" s="9" t="s">
        <v>23</v>
      </c>
      <c r="H14" s="9" t="s">
        <v>15</v>
      </c>
      <c r="I14" s="9" t="s">
        <v>88</v>
      </c>
      <c r="J14" s="10"/>
      <c r="K14" s="7" t="s">
        <v>69</v>
      </c>
    </row>
    <row r="15" spans="1:11" ht="58.05" hidden="1" customHeight="1">
      <c r="A15" s="9" t="s">
        <v>612</v>
      </c>
      <c r="B15" s="9" t="s">
        <v>496</v>
      </c>
      <c r="C15" s="9" t="s">
        <v>64</v>
      </c>
      <c r="D15" s="9" t="s">
        <v>568</v>
      </c>
      <c r="E15" s="7" t="s">
        <v>613</v>
      </c>
      <c r="F15" s="7" t="s">
        <v>614</v>
      </c>
      <c r="G15" s="9" t="s">
        <v>23</v>
      </c>
      <c r="H15" s="9" t="s">
        <v>15</v>
      </c>
      <c r="I15" s="9" t="s">
        <v>88</v>
      </c>
      <c r="J15" s="10" t="s">
        <v>609</v>
      </c>
      <c r="K15" s="7" t="s">
        <v>69</v>
      </c>
    </row>
    <row r="16" spans="1:11" ht="58.05" hidden="1" customHeight="1">
      <c r="A16" s="9" t="s">
        <v>615</v>
      </c>
      <c r="B16" s="9" t="s">
        <v>496</v>
      </c>
      <c r="C16" s="9" t="s">
        <v>64</v>
      </c>
      <c r="D16" s="9" t="s">
        <v>572</v>
      </c>
      <c r="E16" s="7" t="s">
        <v>616</v>
      </c>
      <c r="F16" s="7" t="s">
        <v>617</v>
      </c>
      <c r="G16" s="9" t="s">
        <v>23</v>
      </c>
      <c r="H16" s="9" t="s">
        <v>15</v>
      </c>
      <c r="I16" s="9" t="s">
        <v>199</v>
      </c>
      <c r="J16" s="10" t="s">
        <v>612</v>
      </c>
      <c r="K16" s="7" t="s">
        <v>575</v>
      </c>
    </row>
    <row r="17" spans="1:11" ht="58.05" hidden="1" customHeight="1">
      <c r="A17" s="9" t="s">
        <v>618</v>
      </c>
      <c r="B17" s="9" t="s">
        <v>496</v>
      </c>
      <c r="C17" s="9" t="s">
        <v>64</v>
      </c>
      <c r="D17" s="9" t="s">
        <v>577</v>
      </c>
      <c r="E17" s="7" t="s">
        <v>619</v>
      </c>
      <c r="F17" s="7" t="s">
        <v>620</v>
      </c>
      <c r="G17" s="9" t="s">
        <v>23</v>
      </c>
      <c r="H17" s="9" t="s">
        <v>15</v>
      </c>
      <c r="I17" s="9" t="s">
        <v>199</v>
      </c>
      <c r="J17" s="10" t="s">
        <v>621</v>
      </c>
      <c r="K17" s="7" t="s">
        <v>595</v>
      </c>
    </row>
    <row r="18" spans="1:11" ht="58.05" hidden="1" customHeight="1">
      <c r="A18" s="9" t="s">
        <v>622</v>
      </c>
      <c r="B18" s="9" t="s">
        <v>496</v>
      </c>
      <c r="C18" s="9" t="s">
        <v>70</v>
      </c>
      <c r="D18" s="9" t="s">
        <v>564</v>
      </c>
      <c r="E18" s="7" t="s">
        <v>623</v>
      </c>
      <c r="F18" s="7" t="s">
        <v>624</v>
      </c>
      <c r="G18" s="9" t="s">
        <v>23</v>
      </c>
      <c r="H18" s="9" t="s">
        <v>15</v>
      </c>
      <c r="I18" s="9" t="s">
        <v>88</v>
      </c>
      <c r="J18" s="10"/>
      <c r="K18" s="7" t="s">
        <v>74</v>
      </c>
    </row>
    <row r="19" spans="1:11" ht="58.05" hidden="1" customHeight="1">
      <c r="A19" s="9" t="s">
        <v>625</v>
      </c>
      <c r="B19" s="9" t="s">
        <v>496</v>
      </c>
      <c r="C19" s="9" t="s">
        <v>70</v>
      </c>
      <c r="D19" s="9" t="s">
        <v>568</v>
      </c>
      <c r="E19" s="7" t="s">
        <v>626</v>
      </c>
      <c r="F19" s="7" t="s">
        <v>627</v>
      </c>
      <c r="G19" s="9" t="s">
        <v>23</v>
      </c>
      <c r="H19" s="9" t="s">
        <v>15</v>
      </c>
      <c r="I19" s="9" t="s">
        <v>88</v>
      </c>
      <c r="J19" s="10" t="s">
        <v>622</v>
      </c>
      <c r="K19" s="7" t="s">
        <v>74</v>
      </c>
    </row>
    <row r="20" spans="1:11" ht="58.05" hidden="1" customHeight="1">
      <c r="A20" s="9" t="s">
        <v>628</v>
      </c>
      <c r="B20" s="9" t="s">
        <v>496</v>
      </c>
      <c r="C20" s="9" t="s">
        <v>70</v>
      </c>
      <c r="D20" s="9" t="s">
        <v>572</v>
      </c>
      <c r="E20" s="7" t="s">
        <v>629</v>
      </c>
      <c r="F20" s="7" t="s">
        <v>630</v>
      </c>
      <c r="G20" s="9" t="s">
        <v>23</v>
      </c>
      <c r="H20" s="9" t="s">
        <v>15</v>
      </c>
      <c r="I20" s="9" t="s">
        <v>199</v>
      </c>
      <c r="J20" s="10" t="s">
        <v>625</v>
      </c>
      <c r="K20" s="7" t="s">
        <v>575</v>
      </c>
    </row>
    <row r="21" spans="1:11" ht="58.05" hidden="1" customHeight="1">
      <c r="A21" s="9" t="s">
        <v>631</v>
      </c>
      <c r="B21" s="9" t="s">
        <v>496</v>
      </c>
      <c r="C21" s="9" t="s">
        <v>70</v>
      </c>
      <c r="D21" s="9" t="s">
        <v>577</v>
      </c>
      <c r="E21" s="7" t="s">
        <v>632</v>
      </c>
      <c r="F21" s="7" t="s">
        <v>633</v>
      </c>
      <c r="G21" s="9" t="s">
        <v>23</v>
      </c>
      <c r="H21" s="9" t="s">
        <v>15</v>
      </c>
      <c r="I21" s="9" t="s">
        <v>199</v>
      </c>
      <c r="J21" s="10" t="s">
        <v>634</v>
      </c>
      <c r="K21" s="7" t="s">
        <v>595</v>
      </c>
    </row>
    <row r="22" spans="1:11" ht="58.05" hidden="1" customHeight="1">
      <c r="A22" s="9" t="s">
        <v>635</v>
      </c>
      <c r="B22" s="9" t="s">
        <v>496</v>
      </c>
      <c r="C22" s="9" t="s">
        <v>75</v>
      </c>
      <c r="D22" s="9" t="s">
        <v>564</v>
      </c>
      <c r="E22" s="7" t="s">
        <v>636</v>
      </c>
      <c r="F22" s="7" t="s">
        <v>637</v>
      </c>
      <c r="G22" s="9" t="s">
        <v>23</v>
      </c>
      <c r="H22" s="9" t="s">
        <v>15</v>
      </c>
      <c r="I22" s="9" t="s">
        <v>88</v>
      </c>
      <c r="J22" s="10"/>
      <c r="K22" s="7" t="s">
        <v>79</v>
      </c>
    </row>
    <row r="23" spans="1:11" ht="58.05" hidden="1" customHeight="1">
      <c r="A23" s="9" t="s">
        <v>638</v>
      </c>
      <c r="B23" s="9" t="s">
        <v>496</v>
      </c>
      <c r="C23" s="9" t="s">
        <v>75</v>
      </c>
      <c r="D23" s="9" t="s">
        <v>568</v>
      </c>
      <c r="E23" s="7" t="s">
        <v>639</v>
      </c>
      <c r="F23" s="7" t="s">
        <v>640</v>
      </c>
      <c r="G23" s="9" t="s">
        <v>23</v>
      </c>
      <c r="H23" s="9" t="s">
        <v>15</v>
      </c>
      <c r="I23" s="9" t="s">
        <v>88</v>
      </c>
      <c r="J23" s="10" t="s">
        <v>635</v>
      </c>
      <c r="K23" s="7" t="s">
        <v>79</v>
      </c>
    </row>
    <row r="24" spans="1:11" ht="58.05" hidden="1" customHeight="1">
      <c r="A24" s="9" t="s">
        <v>641</v>
      </c>
      <c r="B24" s="9" t="s">
        <v>496</v>
      </c>
      <c r="C24" s="9" t="s">
        <v>75</v>
      </c>
      <c r="D24" s="9" t="s">
        <v>572</v>
      </c>
      <c r="E24" s="7" t="s">
        <v>642</v>
      </c>
      <c r="F24" s="7" t="s">
        <v>643</v>
      </c>
      <c r="G24" s="9" t="s">
        <v>23</v>
      </c>
      <c r="H24" s="9" t="s">
        <v>15</v>
      </c>
      <c r="I24" s="9" t="s">
        <v>199</v>
      </c>
      <c r="J24" s="10" t="s">
        <v>638</v>
      </c>
      <c r="K24" s="7" t="s">
        <v>575</v>
      </c>
    </row>
    <row r="25" spans="1:11" ht="58.05" hidden="1" customHeight="1">
      <c r="A25" s="9" t="s">
        <v>644</v>
      </c>
      <c r="B25" s="9" t="s">
        <v>496</v>
      </c>
      <c r="C25" s="9" t="s">
        <v>75</v>
      </c>
      <c r="D25" s="9" t="s">
        <v>577</v>
      </c>
      <c r="E25" s="7" t="s">
        <v>645</v>
      </c>
      <c r="F25" s="7" t="s">
        <v>646</v>
      </c>
      <c r="G25" s="9" t="s">
        <v>23</v>
      </c>
      <c r="H25" s="9" t="s">
        <v>15</v>
      </c>
      <c r="I25" s="9" t="s">
        <v>52</v>
      </c>
      <c r="J25" s="10" t="s">
        <v>647</v>
      </c>
      <c r="K25" s="7" t="s">
        <v>581</v>
      </c>
    </row>
    <row r="26" spans="1:11" ht="58.05" hidden="1" customHeight="1">
      <c r="A26" s="9" t="s">
        <v>648</v>
      </c>
      <c r="B26" s="9" t="s">
        <v>496</v>
      </c>
      <c r="C26" s="9" t="s">
        <v>80</v>
      </c>
      <c r="D26" s="9" t="s">
        <v>568</v>
      </c>
      <c r="E26" s="7" t="s">
        <v>649</v>
      </c>
      <c r="F26" s="7" t="s">
        <v>650</v>
      </c>
      <c r="G26" s="9" t="s">
        <v>23</v>
      </c>
      <c r="H26" s="9" t="s">
        <v>16</v>
      </c>
      <c r="I26" s="9" t="s">
        <v>88</v>
      </c>
      <c r="J26" s="10"/>
      <c r="K26" s="7" t="s">
        <v>87</v>
      </c>
    </row>
    <row r="27" spans="1:11" ht="58.05" hidden="1" customHeight="1">
      <c r="A27" s="9" t="s">
        <v>651</v>
      </c>
      <c r="B27" s="9" t="s">
        <v>496</v>
      </c>
      <c r="C27" s="9" t="s">
        <v>80</v>
      </c>
      <c r="D27" s="9" t="s">
        <v>577</v>
      </c>
      <c r="E27" s="7" t="s">
        <v>652</v>
      </c>
      <c r="F27" s="7" t="s">
        <v>653</v>
      </c>
      <c r="G27" s="9" t="s">
        <v>23</v>
      </c>
      <c r="H27" s="9" t="s">
        <v>16</v>
      </c>
      <c r="I27" s="9" t="s">
        <v>199</v>
      </c>
      <c r="J27" s="10" t="s">
        <v>648</v>
      </c>
      <c r="K27" s="7" t="s">
        <v>595</v>
      </c>
    </row>
    <row r="28" spans="1:11" ht="58.05" hidden="1" customHeight="1">
      <c r="A28" s="9" t="s">
        <v>654</v>
      </c>
      <c r="B28" s="9" t="s">
        <v>501</v>
      </c>
      <c r="C28" s="9" t="s">
        <v>89</v>
      </c>
      <c r="D28" s="9" t="s">
        <v>564</v>
      </c>
      <c r="E28" s="7" t="s">
        <v>655</v>
      </c>
      <c r="F28" s="7" t="s">
        <v>656</v>
      </c>
      <c r="G28" s="9" t="s">
        <v>26</v>
      </c>
      <c r="H28" s="9" t="s">
        <v>15</v>
      </c>
      <c r="I28" s="9" t="s">
        <v>88</v>
      </c>
      <c r="J28" s="10"/>
      <c r="K28" s="7" t="s">
        <v>95</v>
      </c>
    </row>
    <row r="29" spans="1:11" ht="58.05" hidden="1" customHeight="1">
      <c r="A29" s="9" t="s">
        <v>657</v>
      </c>
      <c r="B29" s="9" t="s">
        <v>501</v>
      </c>
      <c r="C29" s="9" t="s">
        <v>89</v>
      </c>
      <c r="D29" s="9" t="s">
        <v>568</v>
      </c>
      <c r="E29" s="7" t="s">
        <v>658</v>
      </c>
      <c r="F29" s="7" t="s">
        <v>659</v>
      </c>
      <c r="G29" s="9" t="s">
        <v>26</v>
      </c>
      <c r="H29" s="9" t="s">
        <v>15</v>
      </c>
      <c r="I29" s="9" t="s">
        <v>88</v>
      </c>
      <c r="J29" s="10" t="s">
        <v>654</v>
      </c>
      <c r="K29" s="7" t="s">
        <v>95</v>
      </c>
    </row>
    <row r="30" spans="1:11" ht="58.05" hidden="1" customHeight="1">
      <c r="A30" s="9" t="s">
        <v>660</v>
      </c>
      <c r="B30" s="9" t="s">
        <v>501</v>
      </c>
      <c r="C30" s="9" t="s">
        <v>89</v>
      </c>
      <c r="D30" s="9" t="s">
        <v>572</v>
      </c>
      <c r="E30" s="7" t="s">
        <v>661</v>
      </c>
      <c r="F30" s="7" t="s">
        <v>662</v>
      </c>
      <c r="G30" s="9" t="s">
        <v>26</v>
      </c>
      <c r="H30" s="9" t="s">
        <v>15</v>
      </c>
      <c r="I30" s="9" t="s">
        <v>199</v>
      </c>
      <c r="J30" s="10" t="s">
        <v>657</v>
      </c>
      <c r="K30" s="7" t="s">
        <v>575</v>
      </c>
    </row>
    <row r="31" spans="1:11" ht="58.05" hidden="1" customHeight="1">
      <c r="A31" s="9" t="s">
        <v>663</v>
      </c>
      <c r="B31" s="9" t="s">
        <v>501</v>
      </c>
      <c r="C31" s="9" t="s">
        <v>89</v>
      </c>
      <c r="D31" s="9" t="s">
        <v>577</v>
      </c>
      <c r="E31" s="7" t="s">
        <v>664</v>
      </c>
      <c r="F31" s="7" t="s">
        <v>665</v>
      </c>
      <c r="G31" s="9" t="s">
        <v>26</v>
      </c>
      <c r="H31" s="9" t="s">
        <v>15</v>
      </c>
      <c r="I31" s="9" t="s">
        <v>52</v>
      </c>
      <c r="J31" s="10" t="s">
        <v>666</v>
      </c>
      <c r="K31" s="7" t="s">
        <v>581</v>
      </c>
    </row>
    <row r="32" spans="1:11" ht="58.05" hidden="1" customHeight="1">
      <c r="A32" s="9" t="s">
        <v>667</v>
      </c>
      <c r="B32" s="9" t="s">
        <v>501</v>
      </c>
      <c r="C32" s="9" t="s">
        <v>96</v>
      </c>
      <c r="D32" s="9" t="s">
        <v>564</v>
      </c>
      <c r="E32" s="7" t="s">
        <v>668</v>
      </c>
      <c r="F32" s="7" t="s">
        <v>669</v>
      </c>
      <c r="G32" s="9" t="s">
        <v>26</v>
      </c>
      <c r="H32" s="9" t="s">
        <v>15</v>
      </c>
      <c r="I32" s="9" t="s">
        <v>88</v>
      </c>
      <c r="J32" s="10"/>
      <c r="K32" s="7" t="s">
        <v>100</v>
      </c>
    </row>
    <row r="33" spans="1:11" ht="58.05" hidden="1" customHeight="1">
      <c r="A33" s="9" t="s">
        <v>670</v>
      </c>
      <c r="B33" s="9" t="s">
        <v>501</v>
      </c>
      <c r="C33" s="9" t="s">
        <v>96</v>
      </c>
      <c r="D33" s="9" t="s">
        <v>568</v>
      </c>
      <c r="E33" s="7" t="s">
        <v>671</v>
      </c>
      <c r="F33" s="7" t="s">
        <v>672</v>
      </c>
      <c r="G33" s="9" t="s">
        <v>26</v>
      </c>
      <c r="H33" s="9" t="s">
        <v>15</v>
      </c>
      <c r="I33" s="9" t="s">
        <v>88</v>
      </c>
      <c r="J33" s="10" t="s">
        <v>667</v>
      </c>
      <c r="K33" s="7" t="s">
        <v>100</v>
      </c>
    </row>
    <row r="34" spans="1:11" ht="58.05" hidden="1" customHeight="1">
      <c r="A34" s="9" t="s">
        <v>673</v>
      </c>
      <c r="B34" s="9" t="s">
        <v>501</v>
      </c>
      <c r="C34" s="9" t="s">
        <v>96</v>
      </c>
      <c r="D34" s="9" t="s">
        <v>572</v>
      </c>
      <c r="E34" s="7" t="s">
        <v>674</v>
      </c>
      <c r="F34" s="7" t="s">
        <v>675</v>
      </c>
      <c r="G34" s="9" t="s">
        <v>26</v>
      </c>
      <c r="H34" s="9" t="s">
        <v>15</v>
      </c>
      <c r="I34" s="9" t="s">
        <v>199</v>
      </c>
      <c r="J34" s="10" t="s">
        <v>670</v>
      </c>
      <c r="K34" s="7" t="s">
        <v>575</v>
      </c>
    </row>
    <row r="35" spans="1:11" ht="58.05" hidden="1" customHeight="1">
      <c r="A35" s="9" t="s">
        <v>676</v>
      </c>
      <c r="B35" s="9" t="s">
        <v>501</v>
      </c>
      <c r="C35" s="9" t="s">
        <v>96</v>
      </c>
      <c r="D35" s="9" t="s">
        <v>577</v>
      </c>
      <c r="E35" s="7" t="s">
        <v>677</v>
      </c>
      <c r="F35" s="7" t="s">
        <v>678</v>
      </c>
      <c r="G35" s="9" t="s">
        <v>26</v>
      </c>
      <c r="H35" s="9" t="s">
        <v>15</v>
      </c>
      <c r="I35" s="9" t="s">
        <v>52</v>
      </c>
      <c r="J35" s="10" t="s">
        <v>679</v>
      </c>
      <c r="K35" s="7" t="s">
        <v>581</v>
      </c>
    </row>
    <row r="36" spans="1:11" ht="58.05" hidden="1" customHeight="1">
      <c r="A36" s="9" t="s">
        <v>680</v>
      </c>
      <c r="B36" s="9" t="s">
        <v>501</v>
      </c>
      <c r="C36" s="9" t="s">
        <v>101</v>
      </c>
      <c r="D36" s="9" t="s">
        <v>564</v>
      </c>
      <c r="E36" s="7" t="s">
        <v>681</v>
      </c>
      <c r="F36" s="7" t="s">
        <v>682</v>
      </c>
      <c r="G36" s="9" t="s">
        <v>26</v>
      </c>
      <c r="H36" s="9" t="s">
        <v>15</v>
      </c>
      <c r="I36" s="9" t="s">
        <v>88</v>
      </c>
      <c r="J36" s="10"/>
      <c r="K36" s="7" t="s">
        <v>107</v>
      </c>
    </row>
    <row r="37" spans="1:11" ht="58.05" hidden="1" customHeight="1">
      <c r="A37" s="9" t="s">
        <v>683</v>
      </c>
      <c r="B37" s="9" t="s">
        <v>501</v>
      </c>
      <c r="C37" s="9" t="s">
        <v>101</v>
      </c>
      <c r="D37" s="9" t="s">
        <v>568</v>
      </c>
      <c r="E37" s="7" t="s">
        <v>684</v>
      </c>
      <c r="F37" s="7" t="s">
        <v>685</v>
      </c>
      <c r="G37" s="9" t="s">
        <v>26</v>
      </c>
      <c r="H37" s="9" t="s">
        <v>15</v>
      </c>
      <c r="I37" s="9" t="s">
        <v>88</v>
      </c>
      <c r="J37" s="10" t="s">
        <v>680</v>
      </c>
      <c r="K37" s="7" t="s">
        <v>107</v>
      </c>
    </row>
    <row r="38" spans="1:11" ht="58.05" hidden="1" customHeight="1">
      <c r="A38" s="9" t="s">
        <v>686</v>
      </c>
      <c r="B38" s="9" t="s">
        <v>501</v>
      </c>
      <c r="C38" s="9" t="s">
        <v>101</v>
      </c>
      <c r="D38" s="9" t="s">
        <v>572</v>
      </c>
      <c r="E38" s="7" t="s">
        <v>687</v>
      </c>
      <c r="F38" s="7" t="s">
        <v>688</v>
      </c>
      <c r="G38" s="9" t="s">
        <v>26</v>
      </c>
      <c r="H38" s="9" t="s">
        <v>15</v>
      </c>
      <c r="I38" s="9" t="s">
        <v>199</v>
      </c>
      <c r="J38" s="10" t="s">
        <v>683</v>
      </c>
      <c r="K38" s="7" t="s">
        <v>575</v>
      </c>
    </row>
    <row r="39" spans="1:11" ht="58.05" hidden="1" customHeight="1">
      <c r="A39" s="9" t="s">
        <v>689</v>
      </c>
      <c r="B39" s="9" t="s">
        <v>501</v>
      </c>
      <c r="C39" s="9" t="s">
        <v>101</v>
      </c>
      <c r="D39" s="9" t="s">
        <v>577</v>
      </c>
      <c r="E39" s="7" t="s">
        <v>690</v>
      </c>
      <c r="F39" s="7" t="s">
        <v>691</v>
      </c>
      <c r="G39" s="9" t="s">
        <v>26</v>
      </c>
      <c r="H39" s="9" t="s">
        <v>15</v>
      </c>
      <c r="I39" s="9" t="s">
        <v>199</v>
      </c>
      <c r="J39" s="10" t="s">
        <v>692</v>
      </c>
      <c r="K39" s="7" t="s">
        <v>595</v>
      </c>
    </row>
    <row r="40" spans="1:11" ht="58.05" hidden="1" customHeight="1">
      <c r="A40" s="9" t="s">
        <v>693</v>
      </c>
      <c r="B40" s="9" t="s">
        <v>506</v>
      </c>
      <c r="C40" s="9" t="s">
        <v>108</v>
      </c>
      <c r="D40" s="9" t="s">
        <v>564</v>
      </c>
      <c r="E40" s="7" t="s">
        <v>694</v>
      </c>
      <c r="F40" s="7" t="s">
        <v>695</v>
      </c>
      <c r="G40" s="9" t="s">
        <v>26</v>
      </c>
      <c r="H40" s="9" t="s">
        <v>15</v>
      </c>
      <c r="I40" s="9" t="s">
        <v>88</v>
      </c>
      <c r="J40" s="10"/>
      <c r="K40" s="7" t="s">
        <v>114</v>
      </c>
    </row>
    <row r="41" spans="1:11" ht="58.05" hidden="1" customHeight="1">
      <c r="A41" s="9" t="s">
        <v>696</v>
      </c>
      <c r="B41" s="9" t="s">
        <v>506</v>
      </c>
      <c r="C41" s="9" t="s">
        <v>108</v>
      </c>
      <c r="D41" s="9" t="s">
        <v>568</v>
      </c>
      <c r="E41" s="7" t="s">
        <v>697</v>
      </c>
      <c r="F41" s="7" t="s">
        <v>698</v>
      </c>
      <c r="G41" s="9" t="s">
        <v>26</v>
      </c>
      <c r="H41" s="9" t="s">
        <v>15</v>
      </c>
      <c r="I41" s="9" t="s">
        <v>88</v>
      </c>
      <c r="J41" s="10" t="s">
        <v>693</v>
      </c>
      <c r="K41" s="7" t="s">
        <v>114</v>
      </c>
    </row>
    <row r="42" spans="1:11" ht="58.05" hidden="1" customHeight="1">
      <c r="A42" s="9" t="s">
        <v>699</v>
      </c>
      <c r="B42" s="9" t="s">
        <v>506</v>
      </c>
      <c r="C42" s="9" t="s">
        <v>108</v>
      </c>
      <c r="D42" s="9" t="s">
        <v>572</v>
      </c>
      <c r="E42" s="7" t="s">
        <v>700</v>
      </c>
      <c r="F42" s="7" t="s">
        <v>701</v>
      </c>
      <c r="G42" s="9" t="s">
        <v>26</v>
      </c>
      <c r="H42" s="9" t="s">
        <v>15</v>
      </c>
      <c r="I42" s="9" t="s">
        <v>199</v>
      </c>
      <c r="J42" s="10" t="s">
        <v>696</v>
      </c>
      <c r="K42" s="7" t="s">
        <v>575</v>
      </c>
    </row>
    <row r="43" spans="1:11" ht="58.05" hidden="1" customHeight="1">
      <c r="A43" s="9" t="s">
        <v>702</v>
      </c>
      <c r="B43" s="9" t="s">
        <v>506</v>
      </c>
      <c r="C43" s="9" t="s">
        <v>108</v>
      </c>
      <c r="D43" s="9" t="s">
        <v>577</v>
      </c>
      <c r="E43" s="7" t="s">
        <v>703</v>
      </c>
      <c r="F43" s="7" t="s">
        <v>704</v>
      </c>
      <c r="G43" s="9" t="s">
        <v>26</v>
      </c>
      <c r="H43" s="9" t="s">
        <v>15</v>
      </c>
      <c r="I43" s="9" t="s">
        <v>199</v>
      </c>
      <c r="J43" s="10" t="s">
        <v>705</v>
      </c>
      <c r="K43" s="7" t="s">
        <v>595</v>
      </c>
    </row>
    <row r="44" spans="1:11" ht="58.05" hidden="1" customHeight="1">
      <c r="A44" s="9" t="s">
        <v>706</v>
      </c>
      <c r="B44" s="9" t="s">
        <v>506</v>
      </c>
      <c r="C44" s="9" t="s">
        <v>115</v>
      </c>
      <c r="D44" s="9" t="s">
        <v>564</v>
      </c>
      <c r="E44" s="7" t="s">
        <v>707</v>
      </c>
      <c r="F44" s="7" t="s">
        <v>708</v>
      </c>
      <c r="G44" s="9" t="s">
        <v>26</v>
      </c>
      <c r="H44" s="9" t="s">
        <v>15</v>
      </c>
      <c r="I44" s="9" t="s">
        <v>88</v>
      </c>
      <c r="J44" s="10"/>
      <c r="K44" s="7" t="s">
        <v>119</v>
      </c>
    </row>
    <row r="45" spans="1:11" ht="58.05" hidden="1" customHeight="1">
      <c r="A45" s="9" t="s">
        <v>709</v>
      </c>
      <c r="B45" s="9" t="s">
        <v>506</v>
      </c>
      <c r="C45" s="9" t="s">
        <v>115</v>
      </c>
      <c r="D45" s="9" t="s">
        <v>568</v>
      </c>
      <c r="E45" s="7" t="s">
        <v>710</v>
      </c>
      <c r="F45" s="7" t="s">
        <v>711</v>
      </c>
      <c r="G45" s="9" t="s">
        <v>26</v>
      </c>
      <c r="H45" s="9" t="s">
        <v>15</v>
      </c>
      <c r="I45" s="9" t="s">
        <v>88</v>
      </c>
      <c r="J45" s="10" t="s">
        <v>706</v>
      </c>
      <c r="K45" s="7" t="s">
        <v>119</v>
      </c>
    </row>
    <row r="46" spans="1:11" ht="58.05" hidden="1" customHeight="1">
      <c r="A46" s="9" t="s">
        <v>712</v>
      </c>
      <c r="B46" s="9" t="s">
        <v>506</v>
      </c>
      <c r="C46" s="9" t="s">
        <v>115</v>
      </c>
      <c r="D46" s="9" t="s">
        <v>572</v>
      </c>
      <c r="E46" s="7" t="s">
        <v>713</v>
      </c>
      <c r="F46" s="7" t="s">
        <v>714</v>
      </c>
      <c r="G46" s="9" t="s">
        <v>26</v>
      </c>
      <c r="H46" s="9" t="s">
        <v>15</v>
      </c>
      <c r="I46" s="9" t="s">
        <v>199</v>
      </c>
      <c r="J46" s="10" t="s">
        <v>709</v>
      </c>
      <c r="K46" s="7" t="s">
        <v>575</v>
      </c>
    </row>
    <row r="47" spans="1:11" ht="58.05" hidden="1" customHeight="1">
      <c r="A47" s="9" t="s">
        <v>715</v>
      </c>
      <c r="B47" s="9" t="s">
        <v>506</v>
      </c>
      <c r="C47" s="9" t="s">
        <v>115</v>
      </c>
      <c r="D47" s="9" t="s">
        <v>577</v>
      </c>
      <c r="E47" s="7" t="s">
        <v>716</v>
      </c>
      <c r="F47" s="7" t="s">
        <v>717</v>
      </c>
      <c r="G47" s="9" t="s">
        <v>26</v>
      </c>
      <c r="H47" s="9" t="s">
        <v>15</v>
      </c>
      <c r="I47" s="9" t="s">
        <v>199</v>
      </c>
      <c r="J47" s="10" t="s">
        <v>718</v>
      </c>
      <c r="K47" s="7" t="s">
        <v>595</v>
      </c>
    </row>
    <row r="48" spans="1:11" ht="58.05" hidden="1" customHeight="1">
      <c r="A48" s="9" t="s">
        <v>719</v>
      </c>
      <c r="B48" s="9" t="s">
        <v>506</v>
      </c>
      <c r="C48" s="9" t="s">
        <v>120</v>
      </c>
      <c r="D48" s="9" t="s">
        <v>564</v>
      </c>
      <c r="E48" s="7" t="s">
        <v>720</v>
      </c>
      <c r="F48" s="7" t="s">
        <v>721</v>
      </c>
      <c r="G48" s="9" t="s">
        <v>26</v>
      </c>
      <c r="H48" s="9" t="s">
        <v>15</v>
      </c>
      <c r="I48" s="9" t="s">
        <v>88</v>
      </c>
      <c r="J48" s="10"/>
      <c r="K48" s="7" t="s">
        <v>124</v>
      </c>
    </row>
    <row r="49" spans="1:11" ht="58.05" hidden="1" customHeight="1">
      <c r="A49" s="9" t="s">
        <v>722</v>
      </c>
      <c r="B49" s="9" t="s">
        <v>506</v>
      </c>
      <c r="C49" s="9" t="s">
        <v>120</v>
      </c>
      <c r="D49" s="9" t="s">
        <v>568</v>
      </c>
      <c r="E49" s="7" t="s">
        <v>723</v>
      </c>
      <c r="F49" s="7" t="s">
        <v>724</v>
      </c>
      <c r="G49" s="9" t="s">
        <v>26</v>
      </c>
      <c r="H49" s="9" t="s">
        <v>15</v>
      </c>
      <c r="I49" s="9" t="s">
        <v>88</v>
      </c>
      <c r="J49" s="10" t="s">
        <v>719</v>
      </c>
      <c r="K49" s="7" t="s">
        <v>124</v>
      </c>
    </row>
    <row r="50" spans="1:11" ht="58.05" hidden="1" customHeight="1">
      <c r="A50" s="9" t="s">
        <v>725</v>
      </c>
      <c r="B50" s="9" t="s">
        <v>506</v>
      </c>
      <c r="C50" s="9" t="s">
        <v>120</v>
      </c>
      <c r="D50" s="9" t="s">
        <v>572</v>
      </c>
      <c r="E50" s="7" t="s">
        <v>726</v>
      </c>
      <c r="F50" s="7" t="s">
        <v>727</v>
      </c>
      <c r="G50" s="9" t="s">
        <v>26</v>
      </c>
      <c r="H50" s="9" t="s">
        <v>15</v>
      </c>
      <c r="I50" s="9" t="s">
        <v>199</v>
      </c>
      <c r="J50" s="10" t="s">
        <v>722</v>
      </c>
      <c r="K50" s="7" t="s">
        <v>575</v>
      </c>
    </row>
    <row r="51" spans="1:11" ht="58.05" hidden="1" customHeight="1">
      <c r="A51" s="9" t="s">
        <v>728</v>
      </c>
      <c r="B51" s="9" t="s">
        <v>506</v>
      </c>
      <c r="C51" s="9" t="s">
        <v>120</v>
      </c>
      <c r="D51" s="9" t="s">
        <v>577</v>
      </c>
      <c r="E51" s="7" t="s">
        <v>729</v>
      </c>
      <c r="F51" s="7" t="s">
        <v>730</v>
      </c>
      <c r="G51" s="9" t="s">
        <v>26</v>
      </c>
      <c r="H51" s="9" t="s">
        <v>15</v>
      </c>
      <c r="I51" s="9" t="s">
        <v>199</v>
      </c>
      <c r="J51" s="10" t="s">
        <v>731</v>
      </c>
      <c r="K51" s="7" t="s">
        <v>595</v>
      </c>
    </row>
    <row r="52" spans="1:11" ht="58.05" hidden="1" customHeight="1">
      <c r="A52" s="9" t="s">
        <v>732</v>
      </c>
      <c r="B52" s="9" t="s">
        <v>506</v>
      </c>
      <c r="C52" s="9" t="s">
        <v>125</v>
      </c>
      <c r="D52" s="9" t="s">
        <v>564</v>
      </c>
      <c r="E52" s="7" t="s">
        <v>733</v>
      </c>
      <c r="F52" s="7" t="s">
        <v>734</v>
      </c>
      <c r="G52" s="9" t="s">
        <v>26</v>
      </c>
      <c r="H52" s="9" t="s">
        <v>15</v>
      </c>
      <c r="I52" s="9" t="s">
        <v>88</v>
      </c>
      <c r="J52" s="10"/>
      <c r="K52" s="7" t="s">
        <v>129</v>
      </c>
    </row>
    <row r="53" spans="1:11" ht="58.05" hidden="1" customHeight="1">
      <c r="A53" s="9" t="s">
        <v>735</v>
      </c>
      <c r="B53" s="9" t="s">
        <v>506</v>
      </c>
      <c r="C53" s="9" t="s">
        <v>125</v>
      </c>
      <c r="D53" s="9" t="s">
        <v>568</v>
      </c>
      <c r="E53" s="7" t="s">
        <v>736</v>
      </c>
      <c r="F53" s="7" t="s">
        <v>737</v>
      </c>
      <c r="G53" s="9" t="s">
        <v>26</v>
      </c>
      <c r="H53" s="9" t="s">
        <v>15</v>
      </c>
      <c r="I53" s="9" t="s">
        <v>88</v>
      </c>
      <c r="J53" s="10" t="s">
        <v>732</v>
      </c>
      <c r="K53" s="7" t="s">
        <v>129</v>
      </c>
    </row>
    <row r="54" spans="1:11" ht="58.05" hidden="1" customHeight="1">
      <c r="A54" s="9" t="s">
        <v>738</v>
      </c>
      <c r="B54" s="9" t="s">
        <v>506</v>
      </c>
      <c r="C54" s="9" t="s">
        <v>125</v>
      </c>
      <c r="D54" s="9" t="s">
        <v>572</v>
      </c>
      <c r="E54" s="7" t="s">
        <v>739</v>
      </c>
      <c r="F54" s="7" t="s">
        <v>740</v>
      </c>
      <c r="G54" s="9" t="s">
        <v>26</v>
      </c>
      <c r="H54" s="9" t="s">
        <v>15</v>
      </c>
      <c r="I54" s="9" t="s">
        <v>199</v>
      </c>
      <c r="J54" s="10" t="s">
        <v>735</v>
      </c>
      <c r="K54" s="7" t="s">
        <v>575</v>
      </c>
    </row>
    <row r="55" spans="1:11" ht="58.05" hidden="1" customHeight="1">
      <c r="A55" s="9" t="s">
        <v>741</v>
      </c>
      <c r="B55" s="9" t="s">
        <v>506</v>
      </c>
      <c r="C55" s="9" t="s">
        <v>125</v>
      </c>
      <c r="D55" s="9" t="s">
        <v>577</v>
      </c>
      <c r="E55" s="7" t="s">
        <v>742</v>
      </c>
      <c r="F55" s="7" t="s">
        <v>743</v>
      </c>
      <c r="G55" s="9" t="s">
        <v>26</v>
      </c>
      <c r="H55" s="9" t="s">
        <v>15</v>
      </c>
      <c r="I55" s="9" t="s">
        <v>199</v>
      </c>
      <c r="J55" s="10" t="s">
        <v>744</v>
      </c>
      <c r="K55" s="7" t="s">
        <v>595</v>
      </c>
    </row>
    <row r="56" spans="1:11" ht="58.05" hidden="1" customHeight="1">
      <c r="A56" s="9" t="s">
        <v>745</v>
      </c>
      <c r="B56" s="9" t="s">
        <v>506</v>
      </c>
      <c r="C56" s="9" t="s">
        <v>130</v>
      </c>
      <c r="D56" s="9" t="s">
        <v>564</v>
      </c>
      <c r="E56" s="7" t="s">
        <v>746</v>
      </c>
      <c r="F56" s="7" t="s">
        <v>747</v>
      </c>
      <c r="G56" s="9" t="s">
        <v>26</v>
      </c>
      <c r="H56" s="9" t="s">
        <v>15</v>
      </c>
      <c r="I56" s="9" t="s">
        <v>88</v>
      </c>
      <c r="J56" s="10"/>
      <c r="K56" s="7" t="s">
        <v>134</v>
      </c>
    </row>
    <row r="57" spans="1:11" ht="58.05" hidden="1" customHeight="1">
      <c r="A57" s="9" t="s">
        <v>748</v>
      </c>
      <c r="B57" s="9" t="s">
        <v>506</v>
      </c>
      <c r="C57" s="9" t="s">
        <v>130</v>
      </c>
      <c r="D57" s="9" t="s">
        <v>568</v>
      </c>
      <c r="E57" s="7" t="s">
        <v>749</v>
      </c>
      <c r="F57" s="7" t="s">
        <v>750</v>
      </c>
      <c r="G57" s="9" t="s">
        <v>26</v>
      </c>
      <c r="H57" s="9" t="s">
        <v>15</v>
      </c>
      <c r="I57" s="9" t="s">
        <v>88</v>
      </c>
      <c r="J57" s="10" t="s">
        <v>745</v>
      </c>
      <c r="K57" s="7" t="s">
        <v>134</v>
      </c>
    </row>
    <row r="58" spans="1:11" ht="58.05" hidden="1" customHeight="1">
      <c r="A58" s="9" t="s">
        <v>751</v>
      </c>
      <c r="B58" s="9" t="s">
        <v>506</v>
      </c>
      <c r="C58" s="9" t="s">
        <v>130</v>
      </c>
      <c r="D58" s="9" t="s">
        <v>572</v>
      </c>
      <c r="E58" s="7" t="s">
        <v>752</v>
      </c>
      <c r="F58" s="7" t="s">
        <v>753</v>
      </c>
      <c r="G58" s="9" t="s">
        <v>26</v>
      </c>
      <c r="H58" s="9" t="s">
        <v>15</v>
      </c>
      <c r="I58" s="9" t="s">
        <v>199</v>
      </c>
      <c r="J58" s="10" t="s">
        <v>748</v>
      </c>
      <c r="K58" s="7" t="s">
        <v>575</v>
      </c>
    </row>
    <row r="59" spans="1:11" ht="58.05" hidden="1" customHeight="1">
      <c r="A59" s="9" t="s">
        <v>754</v>
      </c>
      <c r="B59" s="9" t="s">
        <v>506</v>
      </c>
      <c r="C59" s="9" t="s">
        <v>130</v>
      </c>
      <c r="D59" s="9" t="s">
        <v>577</v>
      </c>
      <c r="E59" s="7" t="s">
        <v>755</v>
      </c>
      <c r="F59" s="7" t="s">
        <v>756</v>
      </c>
      <c r="G59" s="9" t="s">
        <v>26</v>
      </c>
      <c r="H59" s="9" t="s">
        <v>15</v>
      </c>
      <c r="I59" s="9" t="s">
        <v>199</v>
      </c>
      <c r="J59" s="10" t="s">
        <v>757</v>
      </c>
      <c r="K59" s="7" t="s">
        <v>595</v>
      </c>
    </row>
    <row r="60" spans="1:11" ht="58.05" hidden="1" customHeight="1">
      <c r="A60" s="9" t="s">
        <v>758</v>
      </c>
      <c r="B60" s="9" t="s">
        <v>506</v>
      </c>
      <c r="C60" s="9" t="s">
        <v>135</v>
      </c>
      <c r="D60" s="9" t="s">
        <v>564</v>
      </c>
      <c r="E60" s="7" t="s">
        <v>759</v>
      </c>
      <c r="F60" s="7" t="s">
        <v>760</v>
      </c>
      <c r="G60" s="9" t="s">
        <v>26</v>
      </c>
      <c r="H60" s="9" t="s">
        <v>15</v>
      </c>
      <c r="I60" s="9" t="s">
        <v>88</v>
      </c>
      <c r="J60" s="10"/>
      <c r="K60" s="7" t="s">
        <v>139</v>
      </c>
    </row>
    <row r="61" spans="1:11" ht="58.05" hidden="1" customHeight="1">
      <c r="A61" s="9" t="s">
        <v>761</v>
      </c>
      <c r="B61" s="9" t="s">
        <v>506</v>
      </c>
      <c r="C61" s="9" t="s">
        <v>135</v>
      </c>
      <c r="D61" s="9" t="s">
        <v>568</v>
      </c>
      <c r="E61" s="7" t="s">
        <v>762</v>
      </c>
      <c r="F61" s="7" t="s">
        <v>763</v>
      </c>
      <c r="G61" s="9" t="s">
        <v>26</v>
      </c>
      <c r="H61" s="9" t="s">
        <v>15</v>
      </c>
      <c r="I61" s="9" t="s">
        <v>88</v>
      </c>
      <c r="J61" s="10" t="s">
        <v>758</v>
      </c>
      <c r="K61" s="7" t="s">
        <v>139</v>
      </c>
    </row>
    <row r="62" spans="1:11" ht="58.05" hidden="1" customHeight="1">
      <c r="A62" s="9" t="s">
        <v>764</v>
      </c>
      <c r="B62" s="9" t="s">
        <v>506</v>
      </c>
      <c r="C62" s="9" t="s">
        <v>135</v>
      </c>
      <c r="D62" s="9" t="s">
        <v>572</v>
      </c>
      <c r="E62" s="7" t="s">
        <v>765</v>
      </c>
      <c r="F62" s="7" t="s">
        <v>766</v>
      </c>
      <c r="G62" s="9" t="s">
        <v>26</v>
      </c>
      <c r="H62" s="9" t="s">
        <v>15</v>
      </c>
      <c r="I62" s="9" t="s">
        <v>199</v>
      </c>
      <c r="J62" s="10" t="s">
        <v>761</v>
      </c>
      <c r="K62" s="7" t="s">
        <v>575</v>
      </c>
    </row>
    <row r="63" spans="1:11" ht="58.05" hidden="1" customHeight="1">
      <c r="A63" s="9" t="s">
        <v>767</v>
      </c>
      <c r="B63" s="9" t="s">
        <v>506</v>
      </c>
      <c r="C63" s="9" t="s">
        <v>135</v>
      </c>
      <c r="D63" s="9" t="s">
        <v>577</v>
      </c>
      <c r="E63" s="7" t="s">
        <v>768</v>
      </c>
      <c r="F63" s="7" t="s">
        <v>769</v>
      </c>
      <c r="G63" s="9" t="s">
        <v>26</v>
      </c>
      <c r="H63" s="9" t="s">
        <v>15</v>
      </c>
      <c r="I63" s="9" t="s">
        <v>199</v>
      </c>
      <c r="J63" s="10" t="s">
        <v>770</v>
      </c>
      <c r="K63" s="7" t="s">
        <v>595</v>
      </c>
    </row>
    <row r="64" spans="1:11" ht="58.05" hidden="1" customHeight="1">
      <c r="A64" s="9" t="s">
        <v>771</v>
      </c>
      <c r="B64" s="9" t="s">
        <v>512</v>
      </c>
      <c r="C64" s="9" t="s">
        <v>140</v>
      </c>
      <c r="D64" s="9" t="s">
        <v>564</v>
      </c>
      <c r="E64" s="7" t="s">
        <v>772</v>
      </c>
      <c r="F64" s="7" t="s">
        <v>773</v>
      </c>
      <c r="G64" s="9" t="s">
        <v>26</v>
      </c>
      <c r="H64" s="9" t="s">
        <v>15</v>
      </c>
      <c r="I64" s="9" t="s">
        <v>88</v>
      </c>
      <c r="J64" s="10"/>
      <c r="K64" s="7" t="s">
        <v>146</v>
      </c>
    </row>
    <row r="65" spans="1:11" ht="58.05" hidden="1" customHeight="1">
      <c r="A65" s="9" t="s">
        <v>774</v>
      </c>
      <c r="B65" s="9" t="s">
        <v>512</v>
      </c>
      <c r="C65" s="9" t="s">
        <v>140</v>
      </c>
      <c r="D65" s="9" t="s">
        <v>568</v>
      </c>
      <c r="E65" s="7" t="s">
        <v>775</v>
      </c>
      <c r="F65" s="7" t="s">
        <v>776</v>
      </c>
      <c r="G65" s="9" t="s">
        <v>26</v>
      </c>
      <c r="H65" s="9" t="s">
        <v>15</v>
      </c>
      <c r="I65" s="9" t="s">
        <v>88</v>
      </c>
      <c r="J65" s="10" t="s">
        <v>771</v>
      </c>
      <c r="K65" s="7" t="s">
        <v>146</v>
      </c>
    </row>
    <row r="66" spans="1:11" ht="58.05" hidden="1" customHeight="1">
      <c r="A66" s="9" t="s">
        <v>777</v>
      </c>
      <c r="B66" s="9" t="s">
        <v>512</v>
      </c>
      <c r="C66" s="9" t="s">
        <v>140</v>
      </c>
      <c r="D66" s="9" t="s">
        <v>572</v>
      </c>
      <c r="E66" s="7" t="s">
        <v>778</v>
      </c>
      <c r="F66" s="7" t="s">
        <v>779</v>
      </c>
      <c r="G66" s="9" t="s">
        <v>26</v>
      </c>
      <c r="H66" s="9" t="s">
        <v>15</v>
      </c>
      <c r="I66" s="9" t="s">
        <v>199</v>
      </c>
      <c r="J66" s="10" t="s">
        <v>774</v>
      </c>
      <c r="K66" s="7" t="s">
        <v>575</v>
      </c>
    </row>
    <row r="67" spans="1:11" ht="58.05" hidden="1" customHeight="1">
      <c r="A67" s="9" t="s">
        <v>780</v>
      </c>
      <c r="B67" s="9" t="s">
        <v>512</v>
      </c>
      <c r="C67" s="9" t="s">
        <v>140</v>
      </c>
      <c r="D67" s="9" t="s">
        <v>577</v>
      </c>
      <c r="E67" s="7" t="s">
        <v>781</v>
      </c>
      <c r="F67" s="7" t="s">
        <v>782</v>
      </c>
      <c r="G67" s="9" t="s">
        <v>26</v>
      </c>
      <c r="H67" s="9" t="s">
        <v>15</v>
      </c>
      <c r="I67" s="9" t="s">
        <v>199</v>
      </c>
      <c r="J67" s="10" t="s">
        <v>783</v>
      </c>
      <c r="K67" s="7" t="s">
        <v>595</v>
      </c>
    </row>
    <row r="68" spans="1:11" ht="58.05" hidden="1" customHeight="1">
      <c r="A68" s="9" t="s">
        <v>784</v>
      </c>
      <c r="B68" s="9" t="s">
        <v>512</v>
      </c>
      <c r="C68" s="9" t="s">
        <v>147</v>
      </c>
      <c r="D68" s="9" t="s">
        <v>564</v>
      </c>
      <c r="E68" s="7" t="s">
        <v>785</v>
      </c>
      <c r="F68" s="7" t="s">
        <v>786</v>
      </c>
      <c r="G68" s="9" t="s">
        <v>26</v>
      </c>
      <c r="H68" s="9" t="s">
        <v>15</v>
      </c>
      <c r="I68" s="9" t="s">
        <v>88</v>
      </c>
      <c r="J68" s="10"/>
      <c r="K68" s="7" t="s">
        <v>151</v>
      </c>
    </row>
    <row r="69" spans="1:11" ht="58.05" hidden="1" customHeight="1">
      <c r="A69" s="9" t="s">
        <v>787</v>
      </c>
      <c r="B69" s="9" t="s">
        <v>512</v>
      </c>
      <c r="C69" s="9" t="s">
        <v>147</v>
      </c>
      <c r="D69" s="9" t="s">
        <v>568</v>
      </c>
      <c r="E69" s="7" t="s">
        <v>788</v>
      </c>
      <c r="F69" s="7" t="s">
        <v>789</v>
      </c>
      <c r="G69" s="9" t="s">
        <v>26</v>
      </c>
      <c r="H69" s="9" t="s">
        <v>15</v>
      </c>
      <c r="I69" s="9" t="s">
        <v>88</v>
      </c>
      <c r="J69" s="10" t="s">
        <v>784</v>
      </c>
      <c r="K69" s="7" t="s">
        <v>151</v>
      </c>
    </row>
    <row r="70" spans="1:11" ht="58.05" hidden="1" customHeight="1">
      <c r="A70" s="9" t="s">
        <v>790</v>
      </c>
      <c r="B70" s="9" t="s">
        <v>512</v>
      </c>
      <c r="C70" s="9" t="s">
        <v>147</v>
      </c>
      <c r="D70" s="9" t="s">
        <v>572</v>
      </c>
      <c r="E70" s="7" t="s">
        <v>791</v>
      </c>
      <c r="F70" s="7" t="s">
        <v>792</v>
      </c>
      <c r="G70" s="9" t="s">
        <v>26</v>
      </c>
      <c r="H70" s="9" t="s">
        <v>15</v>
      </c>
      <c r="I70" s="9" t="s">
        <v>199</v>
      </c>
      <c r="J70" s="10" t="s">
        <v>787</v>
      </c>
      <c r="K70" s="7" t="s">
        <v>575</v>
      </c>
    </row>
    <row r="71" spans="1:11" ht="58.05" hidden="1" customHeight="1">
      <c r="A71" s="9" t="s">
        <v>793</v>
      </c>
      <c r="B71" s="9" t="s">
        <v>512</v>
      </c>
      <c r="C71" s="9" t="s">
        <v>147</v>
      </c>
      <c r="D71" s="9" t="s">
        <v>577</v>
      </c>
      <c r="E71" s="7" t="s">
        <v>794</v>
      </c>
      <c r="F71" s="7" t="s">
        <v>795</v>
      </c>
      <c r="G71" s="9" t="s">
        <v>26</v>
      </c>
      <c r="H71" s="9" t="s">
        <v>15</v>
      </c>
      <c r="I71" s="9" t="s">
        <v>199</v>
      </c>
      <c r="J71" s="10" t="s">
        <v>796</v>
      </c>
      <c r="K71" s="7" t="s">
        <v>595</v>
      </c>
    </row>
    <row r="72" spans="1:11" ht="58.05" hidden="1" customHeight="1">
      <c r="A72" s="9" t="s">
        <v>797</v>
      </c>
      <c r="B72" s="9" t="s">
        <v>512</v>
      </c>
      <c r="C72" s="9" t="s">
        <v>152</v>
      </c>
      <c r="D72" s="9" t="s">
        <v>564</v>
      </c>
      <c r="E72" s="7" t="s">
        <v>798</v>
      </c>
      <c r="F72" s="7" t="s">
        <v>799</v>
      </c>
      <c r="G72" s="9" t="s">
        <v>26</v>
      </c>
      <c r="H72" s="9" t="s">
        <v>15</v>
      </c>
      <c r="I72" s="9" t="s">
        <v>88</v>
      </c>
      <c r="J72" s="10"/>
      <c r="K72" s="7" t="s">
        <v>156</v>
      </c>
    </row>
    <row r="73" spans="1:11" ht="58.05" hidden="1" customHeight="1">
      <c r="A73" s="9" t="s">
        <v>800</v>
      </c>
      <c r="B73" s="9" t="s">
        <v>512</v>
      </c>
      <c r="C73" s="9" t="s">
        <v>152</v>
      </c>
      <c r="D73" s="9" t="s">
        <v>568</v>
      </c>
      <c r="E73" s="7" t="s">
        <v>801</v>
      </c>
      <c r="F73" s="7" t="s">
        <v>802</v>
      </c>
      <c r="G73" s="9" t="s">
        <v>26</v>
      </c>
      <c r="H73" s="9" t="s">
        <v>15</v>
      </c>
      <c r="I73" s="9" t="s">
        <v>88</v>
      </c>
      <c r="J73" s="10" t="s">
        <v>797</v>
      </c>
      <c r="K73" s="7" t="s">
        <v>156</v>
      </c>
    </row>
    <row r="74" spans="1:11" ht="58.05" hidden="1" customHeight="1">
      <c r="A74" s="9" t="s">
        <v>803</v>
      </c>
      <c r="B74" s="9" t="s">
        <v>512</v>
      </c>
      <c r="C74" s="9" t="s">
        <v>152</v>
      </c>
      <c r="D74" s="9" t="s">
        <v>572</v>
      </c>
      <c r="E74" s="7" t="s">
        <v>804</v>
      </c>
      <c r="F74" s="7" t="s">
        <v>805</v>
      </c>
      <c r="G74" s="9" t="s">
        <v>26</v>
      </c>
      <c r="H74" s="9" t="s">
        <v>15</v>
      </c>
      <c r="I74" s="9" t="s">
        <v>199</v>
      </c>
      <c r="J74" s="10" t="s">
        <v>800</v>
      </c>
      <c r="K74" s="7" t="s">
        <v>575</v>
      </c>
    </row>
    <row r="75" spans="1:11" ht="58.05" hidden="1" customHeight="1">
      <c r="A75" s="9" t="s">
        <v>806</v>
      </c>
      <c r="B75" s="9" t="s">
        <v>512</v>
      </c>
      <c r="C75" s="9" t="s">
        <v>152</v>
      </c>
      <c r="D75" s="9" t="s">
        <v>577</v>
      </c>
      <c r="E75" s="7" t="s">
        <v>807</v>
      </c>
      <c r="F75" s="7" t="s">
        <v>808</v>
      </c>
      <c r="G75" s="9" t="s">
        <v>26</v>
      </c>
      <c r="H75" s="9" t="s">
        <v>15</v>
      </c>
      <c r="I75" s="9" t="s">
        <v>199</v>
      </c>
      <c r="J75" s="10" t="s">
        <v>809</v>
      </c>
      <c r="K75" s="7" t="s">
        <v>595</v>
      </c>
    </row>
    <row r="76" spans="1:11" ht="58.05" hidden="1" customHeight="1">
      <c r="A76" s="9" t="s">
        <v>810</v>
      </c>
      <c r="B76" s="9" t="s">
        <v>517</v>
      </c>
      <c r="C76" s="9" t="s">
        <v>157</v>
      </c>
      <c r="D76" s="9" t="s">
        <v>564</v>
      </c>
      <c r="E76" s="7" t="s">
        <v>811</v>
      </c>
      <c r="F76" s="7" t="s">
        <v>812</v>
      </c>
      <c r="G76" s="9" t="s">
        <v>28</v>
      </c>
      <c r="H76" s="9" t="s">
        <v>15</v>
      </c>
      <c r="I76" s="9" t="s">
        <v>88</v>
      </c>
      <c r="J76" s="10"/>
      <c r="K76" s="7" t="s">
        <v>162</v>
      </c>
    </row>
    <row r="77" spans="1:11" ht="58.05" hidden="1" customHeight="1">
      <c r="A77" s="9" t="s">
        <v>813</v>
      </c>
      <c r="B77" s="9" t="s">
        <v>517</v>
      </c>
      <c r="C77" s="9" t="s">
        <v>157</v>
      </c>
      <c r="D77" s="9" t="s">
        <v>568</v>
      </c>
      <c r="E77" s="7" t="s">
        <v>814</v>
      </c>
      <c r="F77" s="7" t="s">
        <v>815</v>
      </c>
      <c r="G77" s="9" t="s">
        <v>28</v>
      </c>
      <c r="H77" s="9" t="s">
        <v>15</v>
      </c>
      <c r="I77" s="9" t="s">
        <v>88</v>
      </c>
      <c r="J77" s="10" t="s">
        <v>810</v>
      </c>
      <c r="K77" s="7" t="s">
        <v>162</v>
      </c>
    </row>
    <row r="78" spans="1:11" ht="58.05" hidden="1" customHeight="1">
      <c r="A78" s="9" t="s">
        <v>816</v>
      </c>
      <c r="B78" s="9" t="s">
        <v>517</v>
      </c>
      <c r="C78" s="9" t="s">
        <v>157</v>
      </c>
      <c r="D78" s="9" t="s">
        <v>572</v>
      </c>
      <c r="E78" s="7" t="s">
        <v>817</v>
      </c>
      <c r="F78" s="7" t="s">
        <v>818</v>
      </c>
      <c r="G78" s="9" t="s">
        <v>28</v>
      </c>
      <c r="H78" s="9" t="s">
        <v>15</v>
      </c>
      <c r="I78" s="9" t="s">
        <v>199</v>
      </c>
      <c r="J78" s="10" t="s">
        <v>813</v>
      </c>
      <c r="K78" s="7" t="s">
        <v>575</v>
      </c>
    </row>
    <row r="79" spans="1:11" ht="58.05" hidden="1" customHeight="1">
      <c r="A79" s="9" t="s">
        <v>819</v>
      </c>
      <c r="B79" s="9" t="s">
        <v>517</v>
      </c>
      <c r="C79" s="9" t="s">
        <v>157</v>
      </c>
      <c r="D79" s="9" t="s">
        <v>577</v>
      </c>
      <c r="E79" s="7" t="s">
        <v>820</v>
      </c>
      <c r="F79" s="7" t="s">
        <v>821</v>
      </c>
      <c r="G79" s="9" t="s">
        <v>28</v>
      </c>
      <c r="H79" s="9" t="s">
        <v>15</v>
      </c>
      <c r="I79" s="9" t="s">
        <v>52</v>
      </c>
      <c r="J79" s="10" t="s">
        <v>822</v>
      </c>
      <c r="K79" s="7" t="s">
        <v>581</v>
      </c>
    </row>
    <row r="80" spans="1:11" ht="58.05" hidden="1" customHeight="1">
      <c r="A80" s="9" t="s">
        <v>823</v>
      </c>
      <c r="B80" s="9" t="s">
        <v>517</v>
      </c>
      <c r="C80" s="9" t="s">
        <v>163</v>
      </c>
      <c r="D80" s="9" t="s">
        <v>568</v>
      </c>
      <c r="E80" s="7" t="s">
        <v>824</v>
      </c>
      <c r="F80" s="7" t="s">
        <v>825</v>
      </c>
      <c r="G80" s="9" t="s">
        <v>28</v>
      </c>
      <c r="H80" s="9" t="s">
        <v>15</v>
      </c>
      <c r="I80" s="9" t="s">
        <v>88</v>
      </c>
      <c r="J80" s="10"/>
      <c r="K80" s="7" t="s">
        <v>167</v>
      </c>
    </row>
    <row r="81" spans="1:11" ht="58.05" hidden="1" customHeight="1">
      <c r="A81" s="9" t="s">
        <v>826</v>
      </c>
      <c r="B81" s="9" t="s">
        <v>517</v>
      </c>
      <c r="C81" s="9" t="s">
        <v>163</v>
      </c>
      <c r="D81" s="9" t="s">
        <v>577</v>
      </c>
      <c r="E81" s="7" t="s">
        <v>827</v>
      </c>
      <c r="F81" s="7" t="s">
        <v>828</v>
      </c>
      <c r="G81" s="9" t="s">
        <v>28</v>
      </c>
      <c r="H81" s="9" t="s">
        <v>15</v>
      </c>
      <c r="I81" s="9" t="s">
        <v>88</v>
      </c>
      <c r="J81" s="10" t="s">
        <v>823</v>
      </c>
      <c r="K81" s="7" t="s">
        <v>829</v>
      </c>
    </row>
    <row r="82" spans="1:11" ht="58.05" hidden="1" customHeight="1">
      <c r="A82" s="9" t="s">
        <v>830</v>
      </c>
      <c r="B82" s="9" t="s">
        <v>517</v>
      </c>
      <c r="C82" s="9" t="s">
        <v>168</v>
      </c>
      <c r="D82" s="9" t="s">
        <v>568</v>
      </c>
      <c r="E82" s="7" t="s">
        <v>831</v>
      </c>
      <c r="F82" s="7" t="s">
        <v>832</v>
      </c>
      <c r="G82" s="9" t="s">
        <v>28</v>
      </c>
      <c r="H82" s="9" t="s">
        <v>15</v>
      </c>
      <c r="I82" s="9" t="s">
        <v>88</v>
      </c>
      <c r="J82" s="10"/>
      <c r="K82" s="7" t="s">
        <v>173</v>
      </c>
    </row>
    <row r="83" spans="1:11" ht="58.05" hidden="1" customHeight="1">
      <c r="A83" s="9" t="s">
        <v>833</v>
      </c>
      <c r="B83" s="9" t="s">
        <v>517</v>
      </c>
      <c r="C83" s="9" t="s">
        <v>168</v>
      </c>
      <c r="D83" s="9" t="s">
        <v>572</v>
      </c>
      <c r="E83" s="7" t="s">
        <v>834</v>
      </c>
      <c r="F83" s="7" t="s">
        <v>835</v>
      </c>
      <c r="G83" s="9" t="s">
        <v>28</v>
      </c>
      <c r="H83" s="9" t="s">
        <v>15</v>
      </c>
      <c r="I83" s="9" t="s">
        <v>199</v>
      </c>
      <c r="J83" s="10" t="s">
        <v>830</v>
      </c>
      <c r="K83" s="7" t="s">
        <v>575</v>
      </c>
    </row>
    <row r="84" spans="1:11" ht="58.05" hidden="1" customHeight="1">
      <c r="A84" s="9" t="s">
        <v>836</v>
      </c>
      <c r="B84" s="9" t="s">
        <v>517</v>
      </c>
      <c r="C84" s="9" t="s">
        <v>168</v>
      </c>
      <c r="D84" s="9" t="s">
        <v>577</v>
      </c>
      <c r="E84" s="7" t="s">
        <v>837</v>
      </c>
      <c r="F84" s="7" t="s">
        <v>838</v>
      </c>
      <c r="G84" s="9" t="s">
        <v>28</v>
      </c>
      <c r="H84" s="9" t="s">
        <v>15</v>
      </c>
      <c r="I84" s="9" t="s">
        <v>52</v>
      </c>
      <c r="J84" s="10" t="s">
        <v>839</v>
      </c>
      <c r="K84" s="7" t="s">
        <v>581</v>
      </c>
    </row>
    <row r="85" spans="1:11" ht="58.05" hidden="1" customHeight="1">
      <c r="A85" s="9" t="s">
        <v>840</v>
      </c>
      <c r="B85" s="9" t="s">
        <v>517</v>
      </c>
      <c r="C85" s="9" t="s">
        <v>174</v>
      </c>
      <c r="D85" s="9" t="s">
        <v>568</v>
      </c>
      <c r="E85" s="7" t="s">
        <v>841</v>
      </c>
      <c r="F85" s="7" t="s">
        <v>842</v>
      </c>
      <c r="G85" s="9" t="s">
        <v>28</v>
      </c>
      <c r="H85" s="9" t="s">
        <v>15</v>
      </c>
      <c r="I85" s="9" t="s">
        <v>88</v>
      </c>
      <c r="J85" s="10"/>
      <c r="K85" s="7" t="s">
        <v>178</v>
      </c>
    </row>
    <row r="86" spans="1:11" ht="58.05" hidden="1" customHeight="1">
      <c r="A86" s="9" t="s">
        <v>843</v>
      </c>
      <c r="B86" s="9" t="s">
        <v>517</v>
      </c>
      <c r="C86" s="9" t="s">
        <v>174</v>
      </c>
      <c r="D86" s="9" t="s">
        <v>577</v>
      </c>
      <c r="E86" s="7" t="s">
        <v>844</v>
      </c>
      <c r="F86" s="7" t="s">
        <v>845</v>
      </c>
      <c r="G86" s="9" t="s">
        <v>28</v>
      </c>
      <c r="H86" s="9" t="s">
        <v>15</v>
      </c>
      <c r="I86" s="9" t="s">
        <v>88</v>
      </c>
      <c r="J86" s="10" t="s">
        <v>840</v>
      </c>
      <c r="K86" s="7" t="s">
        <v>829</v>
      </c>
    </row>
    <row r="87" spans="1:11" ht="58.05" hidden="1" customHeight="1">
      <c r="A87" s="9" t="s">
        <v>846</v>
      </c>
      <c r="B87" s="9" t="s">
        <v>517</v>
      </c>
      <c r="C87" s="9" t="s">
        <v>179</v>
      </c>
      <c r="D87" s="9" t="s">
        <v>847</v>
      </c>
      <c r="E87" s="7" t="s">
        <v>848</v>
      </c>
      <c r="F87" s="7" t="s">
        <v>849</v>
      </c>
      <c r="G87" s="9" t="s">
        <v>28</v>
      </c>
      <c r="H87" s="9" t="s">
        <v>16</v>
      </c>
      <c r="I87" s="9" t="s">
        <v>88</v>
      </c>
      <c r="J87" s="10"/>
      <c r="K87" s="7" t="s">
        <v>183</v>
      </c>
    </row>
    <row r="88" spans="1:11" ht="58.05" hidden="1" customHeight="1">
      <c r="A88" s="9" t="s">
        <v>850</v>
      </c>
      <c r="B88" s="9" t="s">
        <v>517</v>
      </c>
      <c r="C88" s="9" t="s">
        <v>179</v>
      </c>
      <c r="D88" s="9" t="s">
        <v>568</v>
      </c>
      <c r="E88" s="7" t="s">
        <v>851</v>
      </c>
      <c r="F88" s="7" t="s">
        <v>852</v>
      </c>
      <c r="G88" s="9" t="s">
        <v>28</v>
      </c>
      <c r="H88" s="9" t="s">
        <v>16</v>
      </c>
      <c r="I88" s="9" t="s">
        <v>88</v>
      </c>
      <c r="J88" s="10"/>
      <c r="K88" s="7" t="s">
        <v>183</v>
      </c>
    </row>
    <row r="89" spans="1:11" ht="58.05" hidden="1" customHeight="1">
      <c r="A89" s="9" t="s">
        <v>853</v>
      </c>
      <c r="B89" s="9" t="s">
        <v>517</v>
      </c>
      <c r="C89" s="9" t="s">
        <v>179</v>
      </c>
      <c r="D89" s="9" t="s">
        <v>577</v>
      </c>
      <c r="E89" s="7" t="s">
        <v>854</v>
      </c>
      <c r="F89" s="7" t="s">
        <v>855</v>
      </c>
      <c r="G89" s="9" t="s">
        <v>28</v>
      </c>
      <c r="H89" s="9" t="s">
        <v>16</v>
      </c>
      <c r="I89" s="9" t="s">
        <v>88</v>
      </c>
      <c r="J89" s="10" t="s">
        <v>856</v>
      </c>
      <c r="K89" s="7" t="s">
        <v>829</v>
      </c>
    </row>
    <row r="90" spans="1:11" ht="58.05" hidden="1" customHeight="1">
      <c r="A90" s="9" t="s">
        <v>857</v>
      </c>
      <c r="B90" s="9" t="s">
        <v>517</v>
      </c>
      <c r="C90" s="9" t="s">
        <v>184</v>
      </c>
      <c r="D90" s="9" t="s">
        <v>568</v>
      </c>
      <c r="E90" s="7" t="s">
        <v>858</v>
      </c>
      <c r="F90" s="7" t="s">
        <v>859</v>
      </c>
      <c r="G90" s="9" t="s">
        <v>28</v>
      </c>
      <c r="H90" s="9" t="s">
        <v>15</v>
      </c>
      <c r="I90" s="9" t="s">
        <v>88</v>
      </c>
      <c r="J90" s="10"/>
      <c r="K90" s="7" t="s">
        <v>188</v>
      </c>
    </row>
    <row r="91" spans="1:11" ht="58.05" hidden="1" customHeight="1">
      <c r="A91" s="9" t="s">
        <v>860</v>
      </c>
      <c r="B91" s="9" t="s">
        <v>517</v>
      </c>
      <c r="C91" s="9" t="s">
        <v>184</v>
      </c>
      <c r="D91" s="9" t="s">
        <v>572</v>
      </c>
      <c r="E91" s="7" t="s">
        <v>861</v>
      </c>
      <c r="F91" s="7" t="s">
        <v>862</v>
      </c>
      <c r="G91" s="9" t="s">
        <v>28</v>
      </c>
      <c r="H91" s="9" t="s">
        <v>15</v>
      </c>
      <c r="I91" s="9" t="s">
        <v>199</v>
      </c>
      <c r="J91" s="10" t="s">
        <v>857</v>
      </c>
      <c r="K91" s="7" t="s">
        <v>575</v>
      </c>
    </row>
    <row r="92" spans="1:11" ht="58.05" hidden="1" customHeight="1">
      <c r="A92" s="9" t="s">
        <v>863</v>
      </c>
      <c r="B92" s="9" t="s">
        <v>517</v>
      </c>
      <c r="C92" s="9" t="s">
        <v>184</v>
      </c>
      <c r="D92" s="9" t="s">
        <v>577</v>
      </c>
      <c r="E92" s="7" t="s">
        <v>864</v>
      </c>
      <c r="F92" s="7" t="s">
        <v>865</v>
      </c>
      <c r="G92" s="9" t="s">
        <v>28</v>
      </c>
      <c r="H92" s="9" t="s">
        <v>15</v>
      </c>
      <c r="I92" s="9" t="s">
        <v>52</v>
      </c>
      <c r="J92" s="10" t="s">
        <v>866</v>
      </c>
      <c r="K92" s="7" t="s">
        <v>581</v>
      </c>
    </row>
    <row r="93" spans="1:11" ht="58.05" hidden="1" customHeight="1">
      <c r="A93" s="9" t="s">
        <v>867</v>
      </c>
      <c r="B93" s="9" t="s">
        <v>522</v>
      </c>
      <c r="C93" s="9" t="s">
        <v>189</v>
      </c>
      <c r="D93" s="9" t="s">
        <v>568</v>
      </c>
      <c r="E93" s="7" t="s">
        <v>868</v>
      </c>
      <c r="F93" s="7" t="s">
        <v>869</v>
      </c>
      <c r="G93" s="9" t="s">
        <v>28</v>
      </c>
      <c r="H93" s="9" t="s">
        <v>15</v>
      </c>
      <c r="I93" s="9" t="s">
        <v>88</v>
      </c>
      <c r="J93" s="10"/>
      <c r="K93" s="7" t="s">
        <v>194</v>
      </c>
    </row>
    <row r="94" spans="1:11" ht="58.05" hidden="1" customHeight="1">
      <c r="A94" s="9" t="s">
        <v>870</v>
      </c>
      <c r="B94" s="9" t="s">
        <v>522</v>
      </c>
      <c r="C94" s="9" t="s">
        <v>189</v>
      </c>
      <c r="D94" s="9" t="s">
        <v>572</v>
      </c>
      <c r="E94" s="7" t="s">
        <v>871</v>
      </c>
      <c r="F94" s="7" t="s">
        <v>872</v>
      </c>
      <c r="G94" s="9" t="s">
        <v>28</v>
      </c>
      <c r="H94" s="9" t="s">
        <v>15</v>
      </c>
      <c r="I94" s="9" t="s">
        <v>199</v>
      </c>
      <c r="J94" s="10" t="s">
        <v>867</v>
      </c>
      <c r="K94" s="7" t="s">
        <v>575</v>
      </c>
    </row>
    <row r="95" spans="1:11" ht="58.05" hidden="1" customHeight="1">
      <c r="A95" s="9" t="s">
        <v>873</v>
      </c>
      <c r="B95" s="9" t="s">
        <v>522</v>
      </c>
      <c r="C95" s="9" t="s">
        <v>189</v>
      </c>
      <c r="D95" s="9" t="s">
        <v>577</v>
      </c>
      <c r="E95" s="7" t="s">
        <v>874</v>
      </c>
      <c r="F95" s="7" t="s">
        <v>875</v>
      </c>
      <c r="G95" s="9" t="s">
        <v>28</v>
      </c>
      <c r="H95" s="9" t="s">
        <v>15</v>
      </c>
      <c r="I95" s="9" t="s">
        <v>52</v>
      </c>
      <c r="J95" s="10" t="s">
        <v>876</v>
      </c>
      <c r="K95" s="7" t="s">
        <v>581</v>
      </c>
    </row>
    <row r="96" spans="1:11" ht="58.05" customHeight="1">
      <c r="A96" s="9" t="s">
        <v>877</v>
      </c>
      <c r="B96" s="9" t="s">
        <v>522</v>
      </c>
      <c r="C96" s="9" t="s">
        <v>195</v>
      </c>
      <c r="D96" s="9" t="s">
        <v>568</v>
      </c>
      <c r="E96" s="7" t="s">
        <v>878</v>
      </c>
      <c r="F96" s="7" t="s">
        <v>879</v>
      </c>
      <c r="G96" s="9" t="s">
        <v>28</v>
      </c>
      <c r="H96" s="9" t="s">
        <v>15</v>
      </c>
      <c r="I96" s="9" t="s">
        <v>199</v>
      </c>
      <c r="J96" s="10"/>
      <c r="K96" s="7" t="s">
        <v>595</v>
      </c>
    </row>
    <row r="97" spans="1:11" ht="58.05" hidden="1" customHeight="1">
      <c r="A97" s="9" t="s">
        <v>880</v>
      </c>
      <c r="B97" s="9" t="s">
        <v>522</v>
      </c>
      <c r="C97" s="9" t="s">
        <v>195</v>
      </c>
      <c r="D97" s="9" t="s">
        <v>572</v>
      </c>
      <c r="E97" s="7" t="s">
        <v>881</v>
      </c>
      <c r="F97" s="7" t="s">
        <v>882</v>
      </c>
      <c r="G97" s="9" t="s">
        <v>28</v>
      </c>
      <c r="H97" s="9" t="s">
        <v>15</v>
      </c>
      <c r="I97" s="9" t="s">
        <v>199</v>
      </c>
      <c r="J97" s="10" t="s">
        <v>877</v>
      </c>
      <c r="K97" s="7" t="s">
        <v>575</v>
      </c>
    </row>
    <row r="98" spans="1:11" ht="58.05" hidden="1" customHeight="1">
      <c r="A98" s="9" t="s">
        <v>883</v>
      </c>
      <c r="B98" s="9" t="s">
        <v>522</v>
      </c>
      <c r="C98" s="9" t="s">
        <v>195</v>
      </c>
      <c r="D98" s="9" t="s">
        <v>577</v>
      </c>
      <c r="E98" s="7" t="s">
        <v>884</v>
      </c>
      <c r="F98" s="7" t="s">
        <v>885</v>
      </c>
      <c r="G98" s="9" t="s">
        <v>28</v>
      </c>
      <c r="H98" s="9" t="s">
        <v>15</v>
      </c>
      <c r="I98" s="9" t="s">
        <v>199</v>
      </c>
      <c r="J98" s="10" t="s">
        <v>886</v>
      </c>
      <c r="K98" s="7" t="s">
        <v>595</v>
      </c>
    </row>
    <row r="99" spans="1:11" ht="58.05" hidden="1" customHeight="1">
      <c r="A99" s="9" t="s">
        <v>887</v>
      </c>
      <c r="B99" s="9" t="s">
        <v>522</v>
      </c>
      <c r="C99" s="9" t="s">
        <v>200</v>
      </c>
      <c r="D99" s="9" t="s">
        <v>568</v>
      </c>
      <c r="E99" s="7" t="s">
        <v>888</v>
      </c>
      <c r="F99" s="7" t="s">
        <v>889</v>
      </c>
      <c r="G99" s="9" t="s">
        <v>28</v>
      </c>
      <c r="H99" s="9" t="s">
        <v>15</v>
      </c>
      <c r="I99" s="9" t="s">
        <v>88</v>
      </c>
      <c r="J99" s="10"/>
      <c r="K99" s="7" t="s">
        <v>204</v>
      </c>
    </row>
    <row r="100" spans="1:11" ht="58.05" hidden="1" customHeight="1">
      <c r="A100" s="9" t="s">
        <v>890</v>
      </c>
      <c r="B100" s="9" t="s">
        <v>522</v>
      </c>
      <c r="C100" s="9" t="s">
        <v>200</v>
      </c>
      <c r="D100" s="9" t="s">
        <v>572</v>
      </c>
      <c r="E100" s="7" t="s">
        <v>891</v>
      </c>
      <c r="F100" s="7" t="s">
        <v>892</v>
      </c>
      <c r="G100" s="9" t="s">
        <v>28</v>
      </c>
      <c r="H100" s="9" t="s">
        <v>15</v>
      </c>
      <c r="I100" s="9" t="s">
        <v>199</v>
      </c>
      <c r="J100" s="10" t="s">
        <v>887</v>
      </c>
      <c r="K100" s="7" t="s">
        <v>575</v>
      </c>
    </row>
    <row r="101" spans="1:11" ht="58.05" hidden="1" customHeight="1">
      <c r="A101" s="9" t="s">
        <v>893</v>
      </c>
      <c r="B101" s="9" t="s">
        <v>522</v>
      </c>
      <c r="C101" s="9" t="s">
        <v>200</v>
      </c>
      <c r="D101" s="9" t="s">
        <v>577</v>
      </c>
      <c r="E101" s="7" t="s">
        <v>894</v>
      </c>
      <c r="F101" s="7" t="s">
        <v>895</v>
      </c>
      <c r="G101" s="9" t="s">
        <v>28</v>
      </c>
      <c r="H101" s="9" t="s">
        <v>15</v>
      </c>
      <c r="I101" s="9" t="s">
        <v>52</v>
      </c>
      <c r="J101" s="10" t="s">
        <v>896</v>
      </c>
      <c r="K101" s="7" t="s">
        <v>581</v>
      </c>
    </row>
    <row r="102" spans="1:11" ht="58.05" hidden="1" customHeight="1">
      <c r="A102" s="9" t="s">
        <v>897</v>
      </c>
      <c r="B102" s="9" t="s">
        <v>517</v>
      </c>
      <c r="C102" s="9" t="s">
        <v>205</v>
      </c>
      <c r="D102" s="9" t="s">
        <v>564</v>
      </c>
      <c r="E102" s="7" t="s">
        <v>898</v>
      </c>
      <c r="F102" s="7" t="s">
        <v>899</v>
      </c>
      <c r="G102" s="9" t="s">
        <v>28</v>
      </c>
      <c r="H102" s="9" t="s">
        <v>15</v>
      </c>
      <c r="I102" s="9" t="s">
        <v>88</v>
      </c>
      <c r="J102" s="10"/>
      <c r="K102" s="7" t="s">
        <v>210</v>
      </c>
    </row>
    <row r="103" spans="1:11" ht="58.05" hidden="1" customHeight="1">
      <c r="A103" s="9" t="s">
        <v>900</v>
      </c>
      <c r="B103" s="9" t="s">
        <v>517</v>
      </c>
      <c r="C103" s="9" t="s">
        <v>205</v>
      </c>
      <c r="D103" s="9" t="s">
        <v>568</v>
      </c>
      <c r="E103" s="7" t="s">
        <v>901</v>
      </c>
      <c r="F103" s="7" t="s">
        <v>902</v>
      </c>
      <c r="G103" s="9" t="s">
        <v>28</v>
      </c>
      <c r="H103" s="9" t="s">
        <v>15</v>
      </c>
      <c r="I103" s="9" t="s">
        <v>88</v>
      </c>
      <c r="J103" s="10" t="s">
        <v>897</v>
      </c>
      <c r="K103" s="7" t="s">
        <v>210</v>
      </c>
    </row>
    <row r="104" spans="1:11" ht="58.05" hidden="1" customHeight="1">
      <c r="A104" s="9" t="s">
        <v>903</v>
      </c>
      <c r="B104" s="9" t="s">
        <v>517</v>
      </c>
      <c r="C104" s="9" t="s">
        <v>205</v>
      </c>
      <c r="D104" s="9" t="s">
        <v>572</v>
      </c>
      <c r="E104" s="7" t="s">
        <v>904</v>
      </c>
      <c r="F104" s="7" t="s">
        <v>905</v>
      </c>
      <c r="G104" s="9" t="s">
        <v>28</v>
      </c>
      <c r="H104" s="9" t="s">
        <v>15</v>
      </c>
      <c r="I104" s="9" t="s">
        <v>199</v>
      </c>
      <c r="J104" s="10" t="s">
        <v>900</v>
      </c>
      <c r="K104" s="7" t="s">
        <v>575</v>
      </c>
    </row>
    <row r="105" spans="1:11" ht="58.05" hidden="1" customHeight="1">
      <c r="A105" s="9" t="s">
        <v>906</v>
      </c>
      <c r="B105" s="9" t="s">
        <v>517</v>
      </c>
      <c r="C105" s="9" t="s">
        <v>205</v>
      </c>
      <c r="D105" s="9" t="s">
        <v>577</v>
      </c>
      <c r="E105" s="7" t="s">
        <v>907</v>
      </c>
      <c r="F105" s="7" t="s">
        <v>908</v>
      </c>
      <c r="G105" s="9" t="s">
        <v>28</v>
      </c>
      <c r="H105" s="9" t="s">
        <v>15</v>
      </c>
      <c r="I105" s="9" t="s">
        <v>199</v>
      </c>
      <c r="J105" s="10" t="s">
        <v>909</v>
      </c>
      <c r="K105" s="7" t="s">
        <v>595</v>
      </c>
    </row>
    <row r="106" spans="1:11" ht="58.05" hidden="1" customHeight="1">
      <c r="A106" s="9" t="s">
        <v>910</v>
      </c>
      <c r="B106" s="9" t="s">
        <v>517</v>
      </c>
      <c r="C106" s="9" t="s">
        <v>211</v>
      </c>
      <c r="D106" s="9" t="s">
        <v>564</v>
      </c>
      <c r="E106" s="7" t="s">
        <v>911</v>
      </c>
      <c r="F106" s="7" t="s">
        <v>912</v>
      </c>
      <c r="G106" s="9" t="s">
        <v>28</v>
      </c>
      <c r="H106" s="9" t="s">
        <v>15</v>
      </c>
      <c r="I106" s="9" t="s">
        <v>88</v>
      </c>
      <c r="J106" s="10"/>
      <c r="K106" s="7" t="s">
        <v>215</v>
      </c>
    </row>
    <row r="107" spans="1:11" ht="58.05" hidden="1" customHeight="1">
      <c r="A107" s="9" t="s">
        <v>913</v>
      </c>
      <c r="B107" s="9" t="s">
        <v>517</v>
      </c>
      <c r="C107" s="9" t="s">
        <v>211</v>
      </c>
      <c r="D107" s="9" t="s">
        <v>568</v>
      </c>
      <c r="E107" s="7" t="s">
        <v>914</v>
      </c>
      <c r="F107" s="7" t="s">
        <v>915</v>
      </c>
      <c r="G107" s="9" t="s">
        <v>28</v>
      </c>
      <c r="H107" s="9" t="s">
        <v>15</v>
      </c>
      <c r="I107" s="9" t="s">
        <v>88</v>
      </c>
      <c r="J107" s="10" t="s">
        <v>910</v>
      </c>
      <c r="K107" s="7" t="s">
        <v>215</v>
      </c>
    </row>
    <row r="108" spans="1:11" ht="58.05" hidden="1" customHeight="1">
      <c r="A108" s="9" t="s">
        <v>916</v>
      </c>
      <c r="B108" s="9" t="s">
        <v>517</v>
      </c>
      <c r="C108" s="9" t="s">
        <v>211</v>
      </c>
      <c r="D108" s="9" t="s">
        <v>572</v>
      </c>
      <c r="E108" s="7" t="s">
        <v>917</v>
      </c>
      <c r="F108" s="7" t="s">
        <v>918</v>
      </c>
      <c r="G108" s="9" t="s">
        <v>28</v>
      </c>
      <c r="H108" s="9" t="s">
        <v>15</v>
      </c>
      <c r="I108" s="9" t="s">
        <v>199</v>
      </c>
      <c r="J108" s="10" t="s">
        <v>913</v>
      </c>
      <c r="K108" s="7" t="s">
        <v>575</v>
      </c>
    </row>
    <row r="109" spans="1:11" ht="58.05" hidden="1" customHeight="1">
      <c r="A109" s="9" t="s">
        <v>919</v>
      </c>
      <c r="B109" s="9" t="s">
        <v>517</v>
      </c>
      <c r="C109" s="9" t="s">
        <v>211</v>
      </c>
      <c r="D109" s="9" t="s">
        <v>577</v>
      </c>
      <c r="E109" s="7" t="s">
        <v>920</v>
      </c>
      <c r="F109" s="7" t="s">
        <v>921</v>
      </c>
      <c r="G109" s="9" t="s">
        <v>28</v>
      </c>
      <c r="H109" s="9" t="s">
        <v>15</v>
      </c>
      <c r="I109" s="9" t="s">
        <v>199</v>
      </c>
      <c r="J109" s="10" t="s">
        <v>922</v>
      </c>
      <c r="K109" s="7" t="s">
        <v>595</v>
      </c>
    </row>
    <row r="110" spans="1:11" ht="58.05" hidden="1" customHeight="1">
      <c r="A110" s="9" t="s">
        <v>923</v>
      </c>
      <c r="B110" s="9" t="s">
        <v>527</v>
      </c>
      <c r="C110" s="9" t="s">
        <v>216</v>
      </c>
      <c r="D110" s="9" t="s">
        <v>572</v>
      </c>
      <c r="E110" s="7" t="s">
        <v>924</v>
      </c>
      <c r="F110" s="7" t="s">
        <v>925</v>
      </c>
      <c r="G110" s="9" t="s">
        <v>30</v>
      </c>
      <c r="H110" s="9" t="s">
        <v>15</v>
      </c>
      <c r="I110" s="9" t="s">
        <v>199</v>
      </c>
      <c r="J110" s="10"/>
      <c r="K110" s="7" t="s">
        <v>575</v>
      </c>
    </row>
    <row r="111" spans="1:11" ht="58.05" hidden="1" customHeight="1">
      <c r="A111" s="9" t="s">
        <v>926</v>
      </c>
      <c r="B111" s="9" t="s">
        <v>527</v>
      </c>
      <c r="C111" s="9" t="s">
        <v>216</v>
      </c>
      <c r="D111" s="9" t="s">
        <v>927</v>
      </c>
      <c r="E111" s="7" t="s">
        <v>928</v>
      </c>
      <c r="F111" s="7" t="s">
        <v>929</v>
      </c>
      <c r="G111" s="9" t="s">
        <v>30</v>
      </c>
      <c r="H111" s="9" t="s">
        <v>15</v>
      </c>
      <c r="I111" s="9" t="s">
        <v>199</v>
      </c>
      <c r="J111" s="10"/>
      <c r="K111" s="7" t="s">
        <v>575</v>
      </c>
    </row>
    <row r="112" spans="1:11" ht="58.05" hidden="1" customHeight="1">
      <c r="A112" s="9" t="s">
        <v>930</v>
      </c>
      <c r="B112" s="9" t="s">
        <v>527</v>
      </c>
      <c r="C112" s="9" t="s">
        <v>216</v>
      </c>
      <c r="D112" s="9" t="s">
        <v>577</v>
      </c>
      <c r="E112" s="7" t="s">
        <v>931</v>
      </c>
      <c r="F112" s="7" t="s">
        <v>932</v>
      </c>
      <c r="G112" s="9" t="s">
        <v>30</v>
      </c>
      <c r="H112" s="9" t="s">
        <v>15</v>
      </c>
      <c r="I112" s="9" t="s">
        <v>199</v>
      </c>
      <c r="J112" s="10" t="s">
        <v>933</v>
      </c>
      <c r="K112" s="7" t="s">
        <v>595</v>
      </c>
    </row>
    <row r="113" spans="1:11" ht="58.05" hidden="1" customHeight="1">
      <c r="A113" s="9" t="s">
        <v>934</v>
      </c>
      <c r="B113" s="9" t="s">
        <v>527</v>
      </c>
      <c r="C113" s="9" t="s">
        <v>221</v>
      </c>
      <c r="D113" s="9" t="s">
        <v>572</v>
      </c>
      <c r="E113" s="7" t="s">
        <v>935</v>
      </c>
      <c r="F113" s="7" t="s">
        <v>936</v>
      </c>
      <c r="G113" s="9" t="s">
        <v>30</v>
      </c>
      <c r="H113" s="9" t="s">
        <v>15</v>
      </c>
      <c r="I113" s="9" t="s">
        <v>199</v>
      </c>
      <c r="J113" s="10"/>
      <c r="K113" s="7" t="s">
        <v>575</v>
      </c>
    </row>
    <row r="114" spans="1:11" ht="58.05" hidden="1" customHeight="1">
      <c r="A114" s="9" t="s">
        <v>937</v>
      </c>
      <c r="B114" s="9" t="s">
        <v>527</v>
      </c>
      <c r="C114" s="9" t="s">
        <v>221</v>
      </c>
      <c r="D114" s="9" t="s">
        <v>927</v>
      </c>
      <c r="E114" s="7" t="s">
        <v>938</v>
      </c>
      <c r="F114" s="7" t="s">
        <v>939</v>
      </c>
      <c r="G114" s="9" t="s">
        <v>30</v>
      </c>
      <c r="H114" s="9" t="s">
        <v>15</v>
      </c>
      <c r="I114" s="9" t="s">
        <v>199</v>
      </c>
      <c r="J114" s="10"/>
      <c r="K114" s="7" t="s">
        <v>575</v>
      </c>
    </row>
    <row r="115" spans="1:11" ht="58.05" hidden="1" customHeight="1">
      <c r="A115" s="9" t="s">
        <v>940</v>
      </c>
      <c r="B115" s="9" t="s">
        <v>527</v>
      </c>
      <c r="C115" s="9" t="s">
        <v>221</v>
      </c>
      <c r="D115" s="9" t="s">
        <v>577</v>
      </c>
      <c r="E115" s="7" t="s">
        <v>941</v>
      </c>
      <c r="F115" s="7" t="s">
        <v>942</v>
      </c>
      <c r="G115" s="9" t="s">
        <v>30</v>
      </c>
      <c r="H115" s="9" t="s">
        <v>15</v>
      </c>
      <c r="I115" s="9" t="s">
        <v>199</v>
      </c>
      <c r="J115" s="10" t="s">
        <v>943</v>
      </c>
      <c r="K115" s="7" t="s">
        <v>595</v>
      </c>
    </row>
    <row r="116" spans="1:11" ht="58.05" hidden="1" customHeight="1">
      <c r="A116" s="9" t="s">
        <v>944</v>
      </c>
      <c r="B116" s="9" t="s">
        <v>527</v>
      </c>
      <c r="C116" s="9" t="s">
        <v>225</v>
      </c>
      <c r="D116" s="9" t="s">
        <v>572</v>
      </c>
      <c r="E116" s="7" t="s">
        <v>945</v>
      </c>
      <c r="F116" s="7" t="s">
        <v>946</v>
      </c>
      <c r="G116" s="9" t="s">
        <v>30</v>
      </c>
      <c r="H116" s="9" t="s">
        <v>15</v>
      </c>
      <c r="I116" s="9" t="s">
        <v>199</v>
      </c>
      <c r="J116" s="10"/>
      <c r="K116" s="7" t="s">
        <v>575</v>
      </c>
    </row>
    <row r="117" spans="1:11" ht="58.05" hidden="1" customHeight="1">
      <c r="A117" s="9" t="s">
        <v>947</v>
      </c>
      <c r="B117" s="9" t="s">
        <v>527</v>
      </c>
      <c r="C117" s="9" t="s">
        <v>225</v>
      </c>
      <c r="D117" s="9" t="s">
        <v>927</v>
      </c>
      <c r="E117" s="7" t="s">
        <v>948</v>
      </c>
      <c r="F117" s="7" t="s">
        <v>949</v>
      </c>
      <c r="G117" s="9" t="s">
        <v>30</v>
      </c>
      <c r="H117" s="9" t="s">
        <v>15</v>
      </c>
      <c r="I117" s="9" t="s">
        <v>199</v>
      </c>
      <c r="J117" s="10"/>
      <c r="K117" s="7" t="s">
        <v>575</v>
      </c>
    </row>
    <row r="118" spans="1:11" ht="58.05" hidden="1" customHeight="1">
      <c r="A118" s="9" t="s">
        <v>950</v>
      </c>
      <c r="B118" s="9" t="s">
        <v>527</v>
      </c>
      <c r="C118" s="9" t="s">
        <v>225</v>
      </c>
      <c r="D118" s="9" t="s">
        <v>577</v>
      </c>
      <c r="E118" s="7" t="s">
        <v>951</v>
      </c>
      <c r="F118" s="7" t="s">
        <v>952</v>
      </c>
      <c r="G118" s="9" t="s">
        <v>30</v>
      </c>
      <c r="H118" s="9" t="s">
        <v>15</v>
      </c>
      <c r="I118" s="9" t="s">
        <v>199</v>
      </c>
      <c r="J118" s="10" t="s">
        <v>953</v>
      </c>
      <c r="K118" s="7" t="s">
        <v>595</v>
      </c>
    </row>
    <row r="119" spans="1:11" ht="58.05" hidden="1" customHeight="1">
      <c r="A119" s="9" t="s">
        <v>954</v>
      </c>
      <c r="B119" s="9" t="s">
        <v>527</v>
      </c>
      <c r="C119" s="9" t="s">
        <v>229</v>
      </c>
      <c r="D119" s="9" t="s">
        <v>572</v>
      </c>
      <c r="E119" s="7" t="s">
        <v>955</v>
      </c>
      <c r="F119" s="7" t="s">
        <v>956</v>
      </c>
      <c r="G119" s="9" t="s">
        <v>30</v>
      </c>
      <c r="H119" s="9" t="s">
        <v>15</v>
      </c>
      <c r="I119" s="9" t="s">
        <v>199</v>
      </c>
      <c r="J119" s="10"/>
      <c r="K119" s="7" t="s">
        <v>575</v>
      </c>
    </row>
    <row r="120" spans="1:11" ht="58.05" hidden="1" customHeight="1">
      <c r="A120" s="9" t="s">
        <v>957</v>
      </c>
      <c r="B120" s="9" t="s">
        <v>527</v>
      </c>
      <c r="C120" s="9" t="s">
        <v>229</v>
      </c>
      <c r="D120" s="9" t="s">
        <v>927</v>
      </c>
      <c r="E120" s="7" t="s">
        <v>958</v>
      </c>
      <c r="F120" s="7" t="s">
        <v>959</v>
      </c>
      <c r="G120" s="9" t="s">
        <v>30</v>
      </c>
      <c r="H120" s="9" t="s">
        <v>15</v>
      </c>
      <c r="I120" s="9" t="s">
        <v>199</v>
      </c>
      <c r="J120" s="10"/>
      <c r="K120" s="7" t="s">
        <v>575</v>
      </c>
    </row>
    <row r="121" spans="1:11" ht="58.05" hidden="1" customHeight="1">
      <c r="A121" s="9" t="s">
        <v>960</v>
      </c>
      <c r="B121" s="9" t="s">
        <v>527</v>
      </c>
      <c r="C121" s="9" t="s">
        <v>229</v>
      </c>
      <c r="D121" s="9" t="s">
        <v>577</v>
      </c>
      <c r="E121" s="7" t="s">
        <v>961</v>
      </c>
      <c r="F121" s="7" t="s">
        <v>962</v>
      </c>
      <c r="G121" s="9" t="s">
        <v>30</v>
      </c>
      <c r="H121" s="9" t="s">
        <v>15</v>
      </c>
      <c r="I121" s="9" t="s">
        <v>199</v>
      </c>
      <c r="J121" s="10" t="s">
        <v>963</v>
      </c>
      <c r="K121" s="7" t="s">
        <v>595</v>
      </c>
    </row>
    <row r="122" spans="1:11" ht="58.05" hidden="1" customHeight="1">
      <c r="A122" s="9" t="s">
        <v>964</v>
      </c>
      <c r="B122" s="9" t="s">
        <v>527</v>
      </c>
      <c r="C122" s="9" t="s">
        <v>233</v>
      </c>
      <c r="D122" s="9" t="s">
        <v>572</v>
      </c>
      <c r="E122" s="7" t="s">
        <v>965</v>
      </c>
      <c r="F122" s="7" t="s">
        <v>966</v>
      </c>
      <c r="G122" s="9" t="s">
        <v>30</v>
      </c>
      <c r="H122" s="9" t="s">
        <v>15</v>
      </c>
      <c r="I122" s="9" t="s">
        <v>199</v>
      </c>
      <c r="J122" s="10"/>
      <c r="K122" s="7" t="s">
        <v>575</v>
      </c>
    </row>
    <row r="123" spans="1:11" ht="58.05" hidden="1" customHeight="1">
      <c r="A123" s="9" t="s">
        <v>967</v>
      </c>
      <c r="B123" s="9" t="s">
        <v>527</v>
      </c>
      <c r="C123" s="9" t="s">
        <v>233</v>
      </c>
      <c r="D123" s="9" t="s">
        <v>927</v>
      </c>
      <c r="E123" s="7" t="s">
        <v>968</v>
      </c>
      <c r="F123" s="7" t="s">
        <v>969</v>
      </c>
      <c r="G123" s="9" t="s">
        <v>30</v>
      </c>
      <c r="H123" s="9" t="s">
        <v>15</v>
      </c>
      <c r="I123" s="9" t="s">
        <v>199</v>
      </c>
      <c r="J123" s="10"/>
      <c r="K123" s="7" t="s">
        <v>575</v>
      </c>
    </row>
    <row r="124" spans="1:11" ht="58.05" hidden="1" customHeight="1">
      <c r="A124" s="9" t="s">
        <v>970</v>
      </c>
      <c r="B124" s="9" t="s">
        <v>527</v>
      </c>
      <c r="C124" s="9" t="s">
        <v>233</v>
      </c>
      <c r="D124" s="9" t="s">
        <v>577</v>
      </c>
      <c r="E124" s="7" t="s">
        <v>971</v>
      </c>
      <c r="F124" s="7" t="s">
        <v>972</v>
      </c>
      <c r="G124" s="9" t="s">
        <v>30</v>
      </c>
      <c r="H124" s="9" t="s">
        <v>15</v>
      </c>
      <c r="I124" s="9" t="s">
        <v>199</v>
      </c>
      <c r="J124" s="10" t="s">
        <v>973</v>
      </c>
      <c r="K124" s="7" t="s">
        <v>595</v>
      </c>
    </row>
    <row r="125" spans="1:11" ht="58.05" hidden="1" customHeight="1">
      <c r="A125" s="9" t="s">
        <v>974</v>
      </c>
      <c r="B125" s="9" t="s">
        <v>527</v>
      </c>
      <c r="C125" s="9" t="s">
        <v>237</v>
      </c>
      <c r="D125" s="9" t="s">
        <v>572</v>
      </c>
      <c r="E125" s="7" t="s">
        <v>975</v>
      </c>
      <c r="F125" s="7" t="s">
        <v>976</v>
      </c>
      <c r="G125" s="9" t="s">
        <v>30</v>
      </c>
      <c r="H125" s="9" t="s">
        <v>15</v>
      </c>
      <c r="I125" s="9" t="s">
        <v>199</v>
      </c>
      <c r="J125" s="10"/>
      <c r="K125" s="7" t="s">
        <v>575</v>
      </c>
    </row>
    <row r="126" spans="1:11" ht="58.05" hidden="1" customHeight="1">
      <c r="A126" s="9" t="s">
        <v>977</v>
      </c>
      <c r="B126" s="9" t="s">
        <v>527</v>
      </c>
      <c r="C126" s="9" t="s">
        <v>237</v>
      </c>
      <c r="D126" s="9" t="s">
        <v>927</v>
      </c>
      <c r="E126" s="7" t="s">
        <v>978</v>
      </c>
      <c r="F126" s="7" t="s">
        <v>979</v>
      </c>
      <c r="G126" s="9" t="s">
        <v>30</v>
      </c>
      <c r="H126" s="9" t="s">
        <v>15</v>
      </c>
      <c r="I126" s="9" t="s">
        <v>199</v>
      </c>
      <c r="J126" s="10"/>
      <c r="K126" s="7" t="s">
        <v>575</v>
      </c>
    </row>
    <row r="127" spans="1:11" ht="58.05" hidden="1" customHeight="1">
      <c r="A127" s="9" t="s">
        <v>980</v>
      </c>
      <c r="B127" s="9" t="s">
        <v>527</v>
      </c>
      <c r="C127" s="9" t="s">
        <v>237</v>
      </c>
      <c r="D127" s="9" t="s">
        <v>577</v>
      </c>
      <c r="E127" s="7" t="s">
        <v>981</v>
      </c>
      <c r="F127" s="7" t="s">
        <v>982</v>
      </c>
      <c r="G127" s="9" t="s">
        <v>30</v>
      </c>
      <c r="H127" s="9" t="s">
        <v>15</v>
      </c>
      <c r="I127" s="9" t="s">
        <v>199</v>
      </c>
      <c r="J127" s="10" t="s">
        <v>983</v>
      </c>
      <c r="K127" s="7" t="s">
        <v>595</v>
      </c>
    </row>
    <row r="128" spans="1:11" ht="58.05" hidden="1" customHeight="1">
      <c r="A128" s="9" t="s">
        <v>984</v>
      </c>
      <c r="B128" s="9" t="s">
        <v>527</v>
      </c>
      <c r="C128" s="9" t="s">
        <v>241</v>
      </c>
      <c r="D128" s="9" t="s">
        <v>572</v>
      </c>
      <c r="E128" s="7" t="s">
        <v>985</v>
      </c>
      <c r="F128" s="7" t="s">
        <v>986</v>
      </c>
      <c r="G128" s="9" t="s">
        <v>30</v>
      </c>
      <c r="H128" s="9" t="s">
        <v>15</v>
      </c>
      <c r="I128" s="9" t="s">
        <v>199</v>
      </c>
      <c r="J128" s="10"/>
      <c r="K128" s="7" t="s">
        <v>575</v>
      </c>
    </row>
    <row r="129" spans="1:11" ht="58.05" hidden="1" customHeight="1">
      <c r="A129" s="9" t="s">
        <v>987</v>
      </c>
      <c r="B129" s="9" t="s">
        <v>527</v>
      </c>
      <c r="C129" s="9" t="s">
        <v>241</v>
      </c>
      <c r="D129" s="9" t="s">
        <v>927</v>
      </c>
      <c r="E129" s="7" t="s">
        <v>988</v>
      </c>
      <c r="F129" s="7" t="s">
        <v>989</v>
      </c>
      <c r="G129" s="9" t="s">
        <v>30</v>
      </c>
      <c r="H129" s="9" t="s">
        <v>15</v>
      </c>
      <c r="I129" s="9" t="s">
        <v>199</v>
      </c>
      <c r="J129" s="10"/>
      <c r="K129" s="7" t="s">
        <v>575</v>
      </c>
    </row>
    <row r="130" spans="1:11" ht="58.05" hidden="1" customHeight="1">
      <c r="A130" s="9" t="s">
        <v>990</v>
      </c>
      <c r="B130" s="9" t="s">
        <v>527</v>
      </c>
      <c r="C130" s="9" t="s">
        <v>241</v>
      </c>
      <c r="D130" s="9" t="s">
        <v>577</v>
      </c>
      <c r="E130" s="7" t="s">
        <v>991</v>
      </c>
      <c r="F130" s="7" t="s">
        <v>992</v>
      </c>
      <c r="G130" s="9" t="s">
        <v>30</v>
      </c>
      <c r="H130" s="9" t="s">
        <v>15</v>
      </c>
      <c r="I130" s="9" t="s">
        <v>199</v>
      </c>
      <c r="J130" s="10" t="s">
        <v>993</v>
      </c>
      <c r="K130" s="7" t="s">
        <v>595</v>
      </c>
    </row>
    <row r="131" spans="1:11" ht="58.05" hidden="1" customHeight="1">
      <c r="A131" s="9" t="s">
        <v>994</v>
      </c>
      <c r="B131" s="9" t="s">
        <v>527</v>
      </c>
      <c r="C131" s="9" t="s">
        <v>245</v>
      </c>
      <c r="D131" s="9" t="s">
        <v>572</v>
      </c>
      <c r="E131" s="7" t="s">
        <v>995</v>
      </c>
      <c r="F131" s="7" t="s">
        <v>996</v>
      </c>
      <c r="G131" s="9" t="s">
        <v>30</v>
      </c>
      <c r="H131" s="9" t="s">
        <v>15</v>
      </c>
      <c r="I131" s="9" t="s">
        <v>199</v>
      </c>
      <c r="J131" s="10"/>
      <c r="K131" s="7" t="s">
        <v>575</v>
      </c>
    </row>
    <row r="132" spans="1:11" ht="58.05" hidden="1" customHeight="1">
      <c r="A132" s="9" t="s">
        <v>997</v>
      </c>
      <c r="B132" s="9" t="s">
        <v>527</v>
      </c>
      <c r="C132" s="9" t="s">
        <v>245</v>
      </c>
      <c r="D132" s="9" t="s">
        <v>927</v>
      </c>
      <c r="E132" s="7" t="s">
        <v>998</v>
      </c>
      <c r="F132" s="7" t="s">
        <v>999</v>
      </c>
      <c r="G132" s="9" t="s">
        <v>30</v>
      </c>
      <c r="H132" s="9" t="s">
        <v>15</v>
      </c>
      <c r="I132" s="9" t="s">
        <v>199</v>
      </c>
      <c r="J132" s="10"/>
      <c r="K132" s="7" t="s">
        <v>575</v>
      </c>
    </row>
    <row r="133" spans="1:11" ht="58.05" hidden="1" customHeight="1">
      <c r="A133" s="9" t="s">
        <v>1000</v>
      </c>
      <c r="B133" s="9" t="s">
        <v>527</v>
      </c>
      <c r="C133" s="9" t="s">
        <v>245</v>
      </c>
      <c r="D133" s="9" t="s">
        <v>577</v>
      </c>
      <c r="E133" s="7" t="s">
        <v>1001</v>
      </c>
      <c r="F133" s="7" t="s">
        <v>1002</v>
      </c>
      <c r="G133" s="9" t="s">
        <v>30</v>
      </c>
      <c r="H133" s="9" t="s">
        <v>15</v>
      </c>
      <c r="I133" s="9" t="s">
        <v>199</v>
      </c>
      <c r="J133" s="10" t="s">
        <v>1003</v>
      </c>
      <c r="K133" s="7" t="s">
        <v>595</v>
      </c>
    </row>
    <row r="134" spans="1:11" ht="58.05" hidden="1" customHeight="1">
      <c r="A134" s="9" t="s">
        <v>1004</v>
      </c>
      <c r="B134" s="9" t="s">
        <v>532</v>
      </c>
      <c r="C134" s="9" t="s">
        <v>249</v>
      </c>
      <c r="D134" s="9" t="s">
        <v>568</v>
      </c>
      <c r="E134" s="7" t="s">
        <v>1005</v>
      </c>
      <c r="F134" s="7" t="s">
        <v>1006</v>
      </c>
      <c r="G134" s="9" t="s">
        <v>32</v>
      </c>
      <c r="H134" s="9" t="s">
        <v>15</v>
      </c>
      <c r="I134" s="9" t="s">
        <v>88</v>
      </c>
      <c r="J134" s="10"/>
      <c r="K134" s="7" t="s">
        <v>254</v>
      </c>
    </row>
    <row r="135" spans="1:11" ht="58.05" hidden="1" customHeight="1">
      <c r="A135" s="9" t="s">
        <v>1007</v>
      </c>
      <c r="B135" s="9" t="s">
        <v>532</v>
      </c>
      <c r="C135" s="9" t="s">
        <v>249</v>
      </c>
      <c r="D135" s="9" t="s">
        <v>572</v>
      </c>
      <c r="E135" s="7" t="s">
        <v>1008</v>
      </c>
      <c r="F135" s="7" t="s">
        <v>1009</v>
      </c>
      <c r="G135" s="9" t="s">
        <v>32</v>
      </c>
      <c r="H135" s="9" t="s">
        <v>15</v>
      </c>
      <c r="I135" s="9" t="s">
        <v>199</v>
      </c>
      <c r="J135" s="10" t="s">
        <v>1004</v>
      </c>
      <c r="K135" s="7" t="s">
        <v>575</v>
      </c>
    </row>
    <row r="136" spans="1:11" ht="58.05" hidden="1" customHeight="1">
      <c r="A136" s="9" t="s">
        <v>1010</v>
      </c>
      <c r="B136" s="9" t="s">
        <v>532</v>
      </c>
      <c r="C136" s="9" t="s">
        <v>249</v>
      </c>
      <c r="D136" s="9" t="s">
        <v>577</v>
      </c>
      <c r="E136" s="7" t="s">
        <v>1011</v>
      </c>
      <c r="F136" s="7" t="s">
        <v>1012</v>
      </c>
      <c r="G136" s="9" t="s">
        <v>32</v>
      </c>
      <c r="H136" s="9" t="s">
        <v>15</v>
      </c>
      <c r="I136" s="9" t="s">
        <v>199</v>
      </c>
      <c r="J136" s="10" t="s">
        <v>1013</v>
      </c>
      <c r="K136" s="7" t="s">
        <v>595</v>
      </c>
    </row>
    <row r="137" spans="1:11" ht="58.05" hidden="1" customHeight="1">
      <c r="A137" s="9" t="s">
        <v>1014</v>
      </c>
      <c r="B137" s="9" t="s">
        <v>532</v>
      </c>
      <c r="C137" s="9" t="s">
        <v>255</v>
      </c>
      <c r="D137" s="9" t="s">
        <v>568</v>
      </c>
      <c r="E137" s="7" t="s">
        <v>1015</v>
      </c>
      <c r="F137" s="7" t="s">
        <v>1016</v>
      </c>
      <c r="G137" s="9" t="s">
        <v>32</v>
      </c>
      <c r="H137" s="9" t="s">
        <v>15</v>
      </c>
      <c r="I137" s="9" t="s">
        <v>199</v>
      </c>
      <c r="J137" s="10"/>
      <c r="K137" s="7" t="s">
        <v>595</v>
      </c>
    </row>
    <row r="138" spans="1:11" ht="58.05" hidden="1" customHeight="1">
      <c r="A138" s="9" t="s">
        <v>1017</v>
      </c>
      <c r="B138" s="9" t="s">
        <v>532</v>
      </c>
      <c r="C138" s="9" t="s">
        <v>255</v>
      </c>
      <c r="D138" s="9" t="s">
        <v>572</v>
      </c>
      <c r="E138" s="7" t="s">
        <v>1018</v>
      </c>
      <c r="F138" s="7" t="s">
        <v>1019</v>
      </c>
      <c r="G138" s="9" t="s">
        <v>32</v>
      </c>
      <c r="H138" s="9" t="s">
        <v>15</v>
      </c>
      <c r="I138" s="9" t="s">
        <v>199</v>
      </c>
      <c r="J138" s="10" t="s">
        <v>1014</v>
      </c>
      <c r="K138" s="7" t="s">
        <v>575</v>
      </c>
    </row>
    <row r="139" spans="1:11" ht="58.05" hidden="1" customHeight="1">
      <c r="A139" s="9" t="s">
        <v>1020</v>
      </c>
      <c r="B139" s="9" t="s">
        <v>532</v>
      </c>
      <c r="C139" s="9" t="s">
        <v>255</v>
      </c>
      <c r="D139" s="9" t="s">
        <v>577</v>
      </c>
      <c r="E139" s="7" t="s">
        <v>1021</v>
      </c>
      <c r="F139" s="7" t="s">
        <v>1022</v>
      </c>
      <c r="G139" s="9" t="s">
        <v>32</v>
      </c>
      <c r="H139" s="9" t="s">
        <v>15</v>
      </c>
      <c r="I139" s="9" t="s">
        <v>199</v>
      </c>
      <c r="J139" s="10" t="s">
        <v>1023</v>
      </c>
      <c r="K139" s="7" t="s">
        <v>595</v>
      </c>
    </row>
    <row r="140" spans="1:11" ht="58.05" hidden="1" customHeight="1">
      <c r="A140" s="9" t="s">
        <v>1024</v>
      </c>
      <c r="B140" s="9" t="s">
        <v>532</v>
      </c>
      <c r="C140" s="9" t="s">
        <v>259</v>
      </c>
      <c r="D140" s="9" t="s">
        <v>568</v>
      </c>
      <c r="E140" s="7" t="s">
        <v>1025</v>
      </c>
      <c r="F140" s="7" t="s">
        <v>1026</v>
      </c>
      <c r="G140" s="9" t="s">
        <v>32</v>
      </c>
      <c r="H140" s="9" t="s">
        <v>15</v>
      </c>
      <c r="I140" s="9" t="s">
        <v>88</v>
      </c>
      <c r="J140" s="10"/>
      <c r="K140" s="7" t="s">
        <v>263</v>
      </c>
    </row>
    <row r="141" spans="1:11" ht="58.05" hidden="1" customHeight="1">
      <c r="A141" s="9" t="s">
        <v>1027</v>
      </c>
      <c r="B141" s="9" t="s">
        <v>532</v>
      </c>
      <c r="C141" s="9" t="s">
        <v>259</v>
      </c>
      <c r="D141" s="9" t="s">
        <v>572</v>
      </c>
      <c r="E141" s="7" t="s">
        <v>1028</v>
      </c>
      <c r="F141" s="7" t="s">
        <v>1029</v>
      </c>
      <c r="G141" s="9" t="s">
        <v>32</v>
      </c>
      <c r="H141" s="9" t="s">
        <v>15</v>
      </c>
      <c r="I141" s="9" t="s">
        <v>199</v>
      </c>
      <c r="J141" s="10" t="s">
        <v>1024</v>
      </c>
      <c r="K141" s="7" t="s">
        <v>575</v>
      </c>
    </row>
    <row r="142" spans="1:11" ht="58.05" hidden="1" customHeight="1">
      <c r="A142" s="9" t="s">
        <v>1030</v>
      </c>
      <c r="B142" s="9" t="s">
        <v>532</v>
      </c>
      <c r="C142" s="9" t="s">
        <v>259</v>
      </c>
      <c r="D142" s="9" t="s">
        <v>577</v>
      </c>
      <c r="E142" s="7" t="s">
        <v>1031</v>
      </c>
      <c r="F142" s="7" t="s">
        <v>1032</v>
      </c>
      <c r="G142" s="9" t="s">
        <v>32</v>
      </c>
      <c r="H142" s="9" t="s">
        <v>15</v>
      </c>
      <c r="I142" s="9" t="s">
        <v>199</v>
      </c>
      <c r="J142" s="10" t="s">
        <v>1033</v>
      </c>
      <c r="K142" s="7" t="s">
        <v>595</v>
      </c>
    </row>
    <row r="143" spans="1:11" ht="58.05" hidden="1" customHeight="1">
      <c r="A143" s="9" t="s">
        <v>1034</v>
      </c>
      <c r="B143" s="9" t="s">
        <v>532</v>
      </c>
      <c r="C143" s="9" t="s">
        <v>264</v>
      </c>
      <c r="D143" s="9" t="s">
        <v>568</v>
      </c>
      <c r="E143" s="7" t="s">
        <v>1035</v>
      </c>
      <c r="F143" s="7" t="s">
        <v>1036</v>
      </c>
      <c r="G143" s="9" t="s">
        <v>32</v>
      </c>
      <c r="H143" s="9" t="s">
        <v>15</v>
      </c>
      <c r="I143" s="9" t="s">
        <v>199</v>
      </c>
      <c r="J143" s="10"/>
      <c r="K143" s="7" t="s">
        <v>595</v>
      </c>
    </row>
    <row r="144" spans="1:11" ht="58.05" hidden="1" customHeight="1">
      <c r="A144" s="9" t="s">
        <v>1037</v>
      </c>
      <c r="B144" s="9" t="s">
        <v>532</v>
      </c>
      <c r="C144" s="9" t="s">
        <v>264</v>
      </c>
      <c r="D144" s="9" t="s">
        <v>572</v>
      </c>
      <c r="E144" s="7" t="s">
        <v>1038</v>
      </c>
      <c r="F144" s="7" t="s">
        <v>1039</v>
      </c>
      <c r="G144" s="9" t="s">
        <v>32</v>
      </c>
      <c r="H144" s="9" t="s">
        <v>15</v>
      </c>
      <c r="I144" s="9" t="s">
        <v>199</v>
      </c>
      <c r="J144" s="10" t="s">
        <v>1034</v>
      </c>
      <c r="K144" s="7" t="s">
        <v>575</v>
      </c>
    </row>
    <row r="145" spans="1:11" ht="58.05" hidden="1" customHeight="1">
      <c r="A145" s="9" t="s">
        <v>1040</v>
      </c>
      <c r="B145" s="9" t="s">
        <v>532</v>
      </c>
      <c r="C145" s="9" t="s">
        <v>264</v>
      </c>
      <c r="D145" s="9" t="s">
        <v>577</v>
      </c>
      <c r="E145" s="7" t="s">
        <v>1041</v>
      </c>
      <c r="F145" s="7" t="s">
        <v>1042</v>
      </c>
      <c r="G145" s="9" t="s">
        <v>32</v>
      </c>
      <c r="H145" s="9" t="s">
        <v>15</v>
      </c>
      <c r="I145" s="9" t="s">
        <v>199</v>
      </c>
      <c r="J145" s="10" t="s">
        <v>1043</v>
      </c>
      <c r="K145" s="7" t="s">
        <v>595</v>
      </c>
    </row>
    <row r="146" spans="1:11" ht="58.05" hidden="1" customHeight="1">
      <c r="A146" s="9" t="s">
        <v>1044</v>
      </c>
      <c r="B146" s="9" t="s">
        <v>512</v>
      </c>
      <c r="C146" s="9" t="s">
        <v>268</v>
      </c>
      <c r="D146" s="9" t="s">
        <v>564</v>
      </c>
      <c r="E146" s="7" t="s">
        <v>1045</v>
      </c>
      <c r="F146" s="7" t="s">
        <v>1046</v>
      </c>
      <c r="G146" s="9" t="s">
        <v>32</v>
      </c>
      <c r="H146" s="9" t="s">
        <v>15</v>
      </c>
      <c r="I146" s="9" t="s">
        <v>199</v>
      </c>
      <c r="J146" s="10"/>
      <c r="K146" s="7" t="s">
        <v>595</v>
      </c>
    </row>
    <row r="147" spans="1:11" ht="58.05" hidden="1" customHeight="1">
      <c r="A147" s="9" t="s">
        <v>1047</v>
      </c>
      <c r="B147" s="9" t="s">
        <v>512</v>
      </c>
      <c r="C147" s="9" t="s">
        <v>268</v>
      </c>
      <c r="D147" s="9" t="s">
        <v>568</v>
      </c>
      <c r="E147" s="7" t="s">
        <v>1048</v>
      </c>
      <c r="F147" s="7" t="s">
        <v>1049</v>
      </c>
      <c r="G147" s="9" t="s">
        <v>32</v>
      </c>
      <c r="H147" s="9" t="s">
        <v>15</v>
      </c>
      <c r="I147" s="9" t="s">
        <v>199</v>
      </c>
      <c r="J147" s="10" t="s">
        <v>1044</v>
      </c>
      <c r="K147" s="7" t="s">
        <v>595</v>
      </c>
    </row>
    <row r="148" spans="1:11" ht="58.05" hidden="1" customHeight="1">
      <c r="A148" s="9" t="s">
        <v>1050</v>
      </c>
      <c r="B148" s="9" t="s">
        <v>512</v>
      </c>
      <c r="C148" s="9" t="s">
        <v>268</v>
      </c>
      <c r="D148" s="9" t="s">
        <v>572</v>
      </c>
      <c r="E148" s="7" t="s">
        <v>1051</v>
      </c>
      <c r="F148" s="7" t="s">
        <v>1052</v>
      </c>
      <c r="G148" s="9" t="s">
        <v>32</v>
      </c>
      <c r="H148" s="9" t="s">
        <v>15</v>
      </c>
      <c r="I148" s="9" t="s">
        <v>199</v>
      </c>
      <c r="J148" s="10" t="s">
        <v>1047</v>
      </c>
      <c r="K148" s="7" t="s">
        <v>575</v>
      </c>
    </row>
    <row r="149" spans="1:11" ht="58.05" hidden="1" customHeight="1">
      <c r="A149" s="9" t="s">
        <v>1053</v>
      </c>
      <c r="B149" s="9" t="s">
        <v>512</v>
      </c>
      <c r="C149" s="9" t="s">
        <v>268</v>
      </c>
      <c r="D149" s="9" t="s">
        <v>577</v>
      </c>
      <c r="E149" s="7" t="s">
        <v>1054</v>
      </c>
      <c r="F149" s="7" t="s">
        <v>1055</v>
      </c>
      <c r="G149" s="9" t="s">
        <v>32</v>
      </c>
      <c r="H149" s="9" t="s">
        <v>15</v>
      </c>
      <c r="I149" s="9" t="s">
        <v>199</v>
      </c>
      <c r="J149" s="10" t="s">
        <v>1056</v>
      </c>
      <c r="K149" s="7" t="s">
        <v>595</v>
      </c>
    </row>
    <row r="150" spans="1:11" ht="58.05" hidden="1" customHeight="1">
      <c r="A150" s="9" t="s">
        <v>1057</v>
      </c>
      <c r="B150" s="9" t="s">
        <v>532</v>
      </c>
      <c r="C150" s="9" t="s">
        <v>272</v>
      </c>
      <c r="D150" s="9" t="s">
        <v>564</v>
      </c>
      <c r="E150" s="7" t="s">
        <v>1058</v>
      </c>
      <c r="F150" s="7" t="s">
        <v>1059</v>
      </c>
      <c r="G150" s="9" t="s">
        <v>32</v>
      </c>
      <c r="H150" s="9" t="s">
        <v>15</v>
      </c>
      <c r="I150" s="9" t="s">
        <v>88</v>
      </c>
      <c r="J150" s="10"/>
      <c r="K150" s="7" t="s">
        <v>277</v>
      </c>
    </row>
    <row r="151" spans="1:11" ht="58.05" hidden="1" customHeight="1">
      <c r="A151" s="9" t="s">
        <v>1060</v>
      </c>
      <c r="B151" s="9" t="s">
        <v>532</v>
      </c>
      <c r="C151" s="9" t="s">
        <v>272</v>
      </c>
      <c r="D151" s="9" t="s">
        <v>568</v>
      </c>
      <c r="E151" s="7" t="s">
        <v>1061</v>
      </c>
      <c r="F151" s="7" t="s">
        <v>1062</v>
      </c>
      <c r="G151" s="9" t="s">
        <v>32</v>
      </c>
      <c r="H151" s="9" t="s">
        <v>15</v>
      </c>
      <c r="I151" s="9" t="s">
        <v>199</v>
      </c>
      <c r="J151" s="10" t="s">
        <v>1057</v>
      </c>
      <c r="K151" s="7" t="s">
        <v>595</v>
      </c>
    </row>
    <row r="152" spans="1:11" ht="58.05" hidden="1" customHeight="1">
      <c r="A152" s="9" t="s">
        <v>1063</v>
      </c>
      <c r="B152" s="9" t="s">
        <v>532</v>
      </c>
      <c r="C152" s="9" t="s">
        <v>272</v>
      </c>
      <c r="D152" s="9" t="s">
        <v>572</v>
      </c>
      <c r="E152" s="7" t="s">
        <v>1064</v>
      </c>
      <c r="F152" s="7" t="s">
        <v>1065</v>
      </c>
      <c r="G152" s="9" t="s">
        <v>32</v>
      </c>
      <c r="H152" s="9" t="s">
        <v>15</v>
      </c>
      <c r="I152" s="9" t="s">
        <v>199</v>
      </c>
      <c r="J152" s="10" t="s">
        <v>1060</v>
      </c>
      <c r="K152" s="7" t="s">
        <v>575</v>
      </c>
    </row>
    <row r="153" spans="1:11" ht="58.05" hidden="1" customHeight="1">
      <c r="A153" s="9" t="s">
        <v>1066</v>
      </c>
      <c r="B153" s="9" t="s">
        <v>532</v>
      </c>
      <c r="C153" s="9" t="s">
        <v>272</v>
      </c>
      <c r="D153" s="9" t="s">
        <v>577</v>
      </c>
      <c r="E153" s="7" t="s">
        <v>1067</v>
      </c>
      <c r="F153" s="7" t="s">
        <v>1068</v>
      </c>
      <c r="G153" s="9" t="s">
        <v>32</v>
      </c>
      <c r="H153" s="9" t="s">
        <v>15</v>
      </c>
      <c r="I153" s="9" t="s">
        <v>199</v>
      </c>
      <c r="J153" s="10" t="s">
        <v>1069</v>
      </c>
      <c r="K153" s="7" t="s">
        <v>595</v>
      </c>
    </row>
    <row r="154" spans="1:11" ht="58.05" hidden="1" customHeight="1">
      <c r="A154" s="9" t="s">
        <v>1070</v>
      </c>
      <c r="B154" s="9" t="s">
        <v>512</v>
      </c>
      <c r="C154" s="9" t="s">
        <v>278</v>
      </c>
      <c r="D154" s="9" t="s">
        <v>564</v>
      </c>
      <c r="E154" s="7" t="s">
        <v>1071</v>
      </c>
      <c r="F154" s="7" t="s">
        <v>1072</v>
      </c>
      <c r="G154" s="9" t="s">
        <v>32</v>
      </c>
      <c r="H154" s="9" t="s">
        <v>15</v>
      </c>
      <c r="I154" s="9" t="s">
        <v>199</v>
      </c>
      <c r="J154" s="10"/>
      <c r="K154" s="7" t="s">
        <v>595</v>
      </c>
    </row>
    <row r="155" spans="1:11" ht="58.05" hidden="1" customHeight="1">
      <c r="A155" s="9" t="s">
        <v>1073</v>
      </c>
      <c r="B155" s="9" t="s">
        <v>512</v>
      </c>
      <c r="C155" s="9" t="s">
        <v>278</v>
      </c>
      <c r="D155" s="9" t="s">
        <v>568</v>
      </c>
      <c r="E155" s="7" t="s">
        <v>1074</v>
      </c>
      <c r="F155" s="7" t="s">
        <v>1075</v>
      </c>
      <c r="G155" s="9" t="s">
        <v>32</v>
      </c>
      <c r="H155" s="9" t="s">
        <v>15</v>
      </c>
      <c r="I155" s="9" t="s">
        <v>199</v>
      </c>
      <c r="J155" s="10" t="s">
        <v>1070</v>
      </c>
      <c r="K155" s="7" t="s">
        <v>595</v>
      </c>
    </row>
    <row r="156" spans="1:11" ht="58.05" hidden="1" customHeight="1">
      <c r="A156" s="9" t="s">
        <v>1076</v>
      </c>
      <c r="B156" s="9" t="s">
        <v>512</v>
      </c>
      <c r="C156" s="9" t="s">
        <v>278</v>
      </c>
      <c r="D156" s="9" t="s">
        <v>572</v>
      </c>
      <c r="E156" s="7" t="s">
        <v>1077</v>
      </c>
      <c r="F156" s="7" t="s">
        <v>1078</v>
      </c>
      <c r="G156" s="9" t="s">
        <v>32</v>
      </c>
      <c r="H156" s="9" t="s">
        <v>15</v>
      </c>
      <c r="I156" s="9" t="s">
        <v>199</v>
      </c>
      <c r="J156" s="10" t="s">
        <v>1073</v>
      </c>
      <c r="K156" s="7" t="s">
        <v>575</v>
      </c>
    </row>
    <row r="157" spans="1:11" ht="58.05" hidden="1" customHeight="1">
      <c r="A157" s="9" t="s">
        <v>1079</v>
      </c>
      <c r="B157" s="9" t="s">
        <v>512</v>
      </c>
      <c r="C157" s="9" t="s">
        <v>278</v>
      </c>
      <c r="D157" s="9" t="s">
        <v>577</v>
      </c>
      <c r="E157" s="7" t="s">
        <v>1080</v>
      </c>
      <c r="F157" s="7" t="s">
        <v>1081</v>
      </c>
      <c r="G157" s="9" t="s">
        <v>32</v>
      </c>
      <c r="H157" s="9" t="s">
        <v>15</v>
      </c>
      <c r="I157" s="9" t="s">
        <v>199</v>
      </c>
      <c r="J157" s="10" t="s">
        <v>1082</v>
      </c>
      <c r="K157" s="7" t="s">
        <v>595</v>
      </c>
    </row>
    <row r="158" spans="1:11" ht="58.05" hidden="1" customHeight="1">
      <c r="A158" s="9" t="s">
        <v>1083</v>
      </c>
      <c r="B158" s="9" t="s">
        <v>512</v>
      </c>
      <c r="C158" s="9" t="s">
        <v>282</v>
      </c>
      <c r="D158" s="9" t="s">
        <v>564</v>
      </c>
      <c r="E158" s="7" t="s">
        <v>1084</v>
      </c>
      <c r="F158" s="7" t="s">
        <v>1085</v>
      </c>
      <c r="G158" s="9" t="s">
        <v>32</v>
      </c>
      <c r="H158" s="9" t="s">
        <v>15</v>
      </c>
      <c r="I158" s="9" t="s">
        <v>199</v>
      </c>
      <c r="J158" s="10"/>
      <c r="K158" s="7" t="s">
        <v>595</v>
      </c>
    </row>
    <row r="159" spans="1:11" ht="58.05" hidden="1" customHeight="1">
      <c r="A159" s="9" t="s">
        <v>1086</v>
      </c>
      <c r="B159" s="9" t="s">
        <v>512</v>
      </c>
      <c r="C159" s="9" t="s">
        <v>282</v>
      </c>
      <c r="D159" s="9" t="s">
        <v>568</v>
      </c>
      <c r="E159" s="7" t="s">
        <v>1087</v>
      </c>
      <c r="F159" s="7" t="s">
        <v>1088</v>
      </c>
      <c r="G159" s="9" t="s">
        <v>32</v>
      </c>
      <c r="H159" s="9" t="s">
        <v>15</v>
      </c>
      <c r="I159" s="9" t="s">
        <v>199</v>
      </c>
      <c r="J159" s="10" t="s">
        <v>1083</v>
      </c>
      <c r="K159" s="7" t="s">
        <v>595</v>
      </c>
    </row>
    <row r="160" spans="1:11" ht="58.05" hidden="1" customHeight="1">
      <c r="A160" s="9" t="s">
        <v>1089</v>
      </c>
      <c r="B160" s="9" t="s">
        <v>512</v>
      </c>
      <c r="C160" s="9" t="s">
        <v>282</v>
      </c>
      <c r="D160" s="9" t="s">
        <v>572</v>
      </c>
      <c r="E160" s="7" t="s">
        <v>1090</v>
      </c>
      <c r="F160" s="7" t="s">
        <v>1091</v>
      </c>
      <c r="G160" s="9" t="s">
        <v>32</v>
      </c>
      <c r="H160" s="9" t="s">
        <v>15</v>
      </c>
      <c r="I160" s="9" t="s">
        <v>199</v>
      </c>
      <c r="J160" s="10" t="s">
        <v>1086</v>
      </c>
      <c r="K160" s="7" t="s">
        <v>575</v>
      </c>
    </row>
    <row r="161" spans="1:11" ht="58.05" hidden="1" customHeight="1">
      <c r="A161" s="9" t="s">
        <v>1092</v>
      </c>
      <c r="B161" s="9" t="s">
        <v>512</v>
      </c>
      <c r="C161" s="9" t="s">
        <v>282</v>
      </c>
      <c r="D161" s="9" t="s">
        <v>577</v>
      </c>
      <c r="E161" s="7" t="s">
        <v>1093</v>
      </c>
      <c r="F161" s="7" t="s">
        <v>1094</v>
      </c>
      <c r="G161" s="9" t="s">
        <v>32</v>
      </c>
      <c r="H161" s="9" t="s">
        <v>15</v>
      </c>
      <c r="I161" s="9" t="s">
        <v>199</v>
      </c>
      <c r="J161" s="10" t="s">
        <v>1095</v>
      </c>
      <c r="K161" s="7" t="s">
        <v>595</v>
      </c>
    </row>
    <row r="162" spans="1:11" ht="58.05" hidden="1" customHeight="1">
      <c r="A162" s="9" t="s">
        <v>1096</v>
      </c>
      <c r="B162" s="9" t="s">
        <v>532</v>
      </c>
      <c r="C162" s="9" t="s">
        <v>286</v>
      </c>
      <c r="D162" s="9" t="s">
        <v>568</v>
      </c>
      <c r="E162" s="7" t="s">
        <v>1097</v>
      </c>
      <c r="F162" s="7" t="s">
        <v>1098</v>
      </c>
      <c r="G162" s="9" t="s">
        <v>32</v>
      </c>
      <c r="H162" s="9" t="s">
        <v>15</v>
      </c>
      <c r="I162" s="9" t="s">
        <v>88</v>
      </c>
      <c r="J162" s="10"/>
      <c r="K162" s="7" t="s">
        <v>290</v>
      </c>
    </row>
    <row r="163" spans="1:11" ht="58.05" hidden="1" customHeight="1">
      <c r="A163" s="9" t="s">
        <v>1099</v>
      </c>
      <c r="B163" s="9" t="s">
        <v>532</v>
      </c>
      <c r="C163" s="9" t="s">
        <v>286</v>
      </c>
      <c r="D163" s="9" t="s">
        <v>572</v>
      </c>
      <c r="E163" s="7" t="s">
        <v>1100</v>
      </c>
      <c r="F163" s="7" t="s">
        <v>1101</v>
      </c>
      <c r="G163" s="9" t="s">
        <v>32</v>
      </c>
      <c r="H163" s="9" t="s">
        <v>15</v>
      </c>
      <c r="I163" s="9" t="s">
        <v>199</v>
      </c>
      <c r="J163" s="10" t="s">
        <v>1096</v>
      </c>
      <c r="K163" s="7" t="s">
        <v>575</v>
      </c>
    </row>
    <row r="164" spans="1:11" ht="58.05" hidden="1" customHeight="1">
      <c r="A164" s="9" t="s">
        <v>1102</v>
      </c>
      <c r="B164" s="9" t="s">
        <v>532</v>
      </c>
      <c r="C164" s="9" t="s">
        <v>286</v>
      </c>
      <c r="D164" s="9" t="s">
        <v>577</v>
      </c>
      <c r="E164" s="7" t="s">
        <v>1103</v>
      </c>
      <c r="F164" s="7" t="s">
        <v>1104</v>
      </c>
      <c r="G164" s="9" t="s">
        <v>32</v>
      </c>
      <c r="H164" s="9" t="s">
        <v>15</v>
      </c>
      <c r="I164" s="9" t="s">
        <v>199</v>
      </c>
      <c r="J164" s="10" t="s">
        <v>1105</v>
      </c>
      <c r="K164" s="7" t="s">
        <v>595</v>
      </c>
    </row>
    <row r="165" spans="1:11" ht="58.05" hidden="1" customHeight="1">
      <c r="A165" s="9" t="s">
        <v>1106</v>
      </c>
      <c r="B165" s="9" t="s">
        <v>537</v>
      </c>
      <c r="C165" s="9" t="s">
        <v>291</v>
      </c>
      <c r="D165" s="9" t="s">
        <v>564</v>
      </c>
      <c r="E165" s="7" t="s">
        <v>1107</v>
      </c>
      <c r="F165" s="7" t="s">
        <v>1108</v>
      </c>
      <c r="G165" s="9" t="s">
        <v>35</v>
      </c>
      <c r="H165" s="9" t="s">
        <v>17</v>
      </c>
      <c r="I165" s="9" t="s">
        <v>199</v>
      </c>
      <c r="J165" s="10"/>
      <c r="K165" s="7" t="s">
        <v>595</v>
      </c>
    </row>
    <row r="166" spans="1:11" ht="58.05" hidden="1" customHeight="1">
      <c r="A166" s="9" t="s">
        <v>1109</v>
      </c>
      <c r="B166" s="9" t="s">
        <v>537</v>
      </c>
      <c r="C166" s="9" t="s">
        <v>291</v>
      </c>
      <c r="D166" s="9" t="s">
        <v>568</v>
      </c>
      <c r="E166" s="7" t="s">
        <v>1110</v>
      </c>
      <c r="F166" s="7" t="s">
        <v>1111</v>
      </c>
      <c r="G166" s="9" t="s">
        <v>35</v>
      </c>
      <c r="H166" s="9" t="s">
        <v>17</v>
      </c>
      <c r="I166" s="9" t="s">
        <v>199</v>
      </c>
      <c r="J166" s="10" t="s">
        <v>1106</v>
      </c>
      <c r="K166" s="7" t="s">
        <v>595</v>
      </c>
    </row>
    <row r="167" spans="1:11" ht="58.05" hidden="1" customHeight="1">
      <c r="A167" s="9" t="s">
        <v>1112</v>
      </c>
      <c r="B167" s="9" t="s">
        <v>537</v>
      </c>
      <c r="C167" s="9" t="s">
        <v>291</v>
      </c>
      <c r="D167" s="9" t="s">
        <v>1113</v>
      </c>
      <c r="E167" s="7" t="s">
        <v>1114</v>
      </c>
      <c r="F167" s="7" t="s">
        <v>1115</v>
      </c>
      <c r="G167" s="9" t="s">
        <v>35</v>
      </c>
      <c r="H167" s="9" t="s">
        <v>17</v>
      </c>
      <c r="I167" s="9" t="s">
        <v>199</v>
      </c>
      <c r="J167" s="10"/>
      <c r="K167" s="7" t="s">
        <v>595</v>
      </c>
    </row>
    <row r="168" spans="1:11" ht="58.05" hidden="1" customHeight="1">
      <c r="A168" s="9" t="s">
        <v>1116</v>
      </c>
      <c r="B168" s="9" t="s">
        <v>537</v>
      </c>
      <c r="C168" s="9" t="s">
        <v>291</v>
      </c>
      <c r="D168" s="9" t="s">
        <v>572</v>
      </c>
      <c r="E168" s="7" t="s">
        <v>1117</v>
      </c>
      <c r="F168" s="7" t="s">
        <v>1118</v>
      </c>
      <c r="G168" s="9" t="s">
        <v>35</v>
      </c>
      <c r="H168" s="9" t="s">
        <v>17</v>
      </c>
      <c r="I168" s="9" t="s">
        <v>199</v>
      </c>
      <c r="J168" s="10" t="s">
        <v>1109</v>
      </c>
      <c r="K168" s="7" t="s">
        <v>575</v>
      </c>
    </row>
    <row r="169" spans="1:11" ht="58.05" hidden="1" customHeight="1">
      <c r="A169" s="9" t="s">
        <v>1119</v>
      </c>
      <c r="B169" s="9" t="s">
        <v>537</v>
      </c>
      <c r="C169" s="9" t="s">
        <v>291</v>
      </c>
      <c r="D169" s="9" t="s">
        <v>577</v>
      </c>
      <c r="E169" s="7" t="s">
        <v>1120</v>
      </c>
      <c r="F169" s="7" t="s">
        <v>1121</v>
      </c>
      <c r="G169" s="9" t="s">
        <v>35</v>
      </c>
      <c r="H169" s="9" t="s">
        <v>17</v>
      </c>
      <c r="I169" s="9" t="s">
        <v>199</v>
      </c>
      <c r="J169" s="10" t="s">
        <v>1122</v>
      </c>
      <c r="K169" s="7" t="s">
        <v>595</v>
      </c>
    </row>
    <row r="170" spans="1:11" ht="58.05" hidden="1" customHeight="1">
      <c r="A170" s="9" t="s">
        <v>1123</v>
      </c>
      <c r="B170" s="9" t="s">
        <v>537</v>
      </c>
      <c r="C170" s="9" t="s">
        <v>296</v>
      </c>
      <c r="D170" s="9" t="s">
        <v>564</v>
      </c>
      <c r="E170" s="7" t="s">
        <v>1124</v>
      </c>
      <c r="F170" s="7" t="s">
        <v>1125</v>
      </c>
      <c r="G170" s="9" t="s">
        <v>35</v>
      </c>
      <c r="H170" s="9" t="s">
        <v>17</v>
      </c>
      <c r="I170" s="9" t="s">
        <v>199</v>
      </c>
      <c r="J170" s="10"/>
      <c r="K170" s="7" t="s">
        <v>595</v>
      </c>
    </row>
    <row r="171" spans="1:11" ht="58.05" hidden="1" customHeight="1">
      <c r="A171" s="9" t="s">
        <v>1126</v>
      </c>
      <c r="B171" s="9" t="s">
        <v>537</v>
      </c>
      <c r="C171" s="9" t="s">
        <v>296</v>
      </c>
      <c r="D171" s="9" t="s">
        <v>568</v>
      </c>
      <c r="E171" s="7" t="s">
        <v>1127</v>
      </c>
      <c r="F171" s="7" t="s">
        <v>1128</v>
      </c>
      <c r="G171" s="9" t="s">
        <v>35</v>
      </c>
      <c r="H171" s="9" t="s">
        <v>17</v>
      </c>
      <c r="I171" s="9" t="s">
        <v>199</v>
      </c>
      <c r="J171" s="10" t="s">
        <v>1123</v>
      </c>
      <c r="K171" s="7" t="s">
        <v>595</v>
      </c>
    </row>
    <row r="172" spans="1:11" ht="58.05" hidden="1" customHeight="1">
      <c r="A172" s="9" t="s">
        <v>1129</v>
      </c>
      <c r="B172" s="9" t="s">
        <v>537</v>
      </c>
      <c r="C172" s="9" t="s">
        <v>296</v>
      </c>
      <c r="D172" s="9" t="s">
        <v>1113</v>
      </c>
      <c r="E172" s="7" t="s">
        <v>1130</v>
      </c>
      <c r="F172" s="7" t="s">
        <v>1131</v>
      </c>
      <c r="G172" s="9" t="s">
        <v>35</v>
      </c>
      <c r="H172" s="9" t="s">
        <v>17</v>
      </c>
      <c r="I172" s="9" t="s">
        <v>199</v>
      </c>
      <c r="J172" s="10"/>
      <c r="K172" s="7" t="s">
        <v>595</v>
      </c>
    </row>
    <row r="173" spans="1:11" ht="58.05" hidden="1" customHeight="1">
      <c r="A173" s="9" t="s">
        <v>1132</v>
      </c>
      <c r="B173" s="9" t="s">
        <v>537</v>
      </c>
      <c r="C173" s="9" t="s">
        <v>296</v>
      </c>
      <c r="D173" s="9" t="s">
        <v>572</v>
      </c>
      <c r="E173" s="7" t="s">
        <v>1133</v>
      </c>
      <c r="F173" s="7" t="s">
        <v>1134</v>
      </c>
      <c r="G173" s="9" t="s">
        <v>35</v>
      </c>
      <c r="H173" s="9" t="s">
        <v>17</v>
      </c>
      <c r="I173" s="9" t="s">
        <v>199</v>
      </c>
      <c r="J173" s="10" t="s">
        <v>1126</v>
      </c>
      <c r="K173" s="7" t="s">
        <v>575</v>
      </c>
    </row>
    <row r="174" spans="1:11" ht="58.05" hidden="1" customHeight="1">
      <c r="A174" s="9" t="s">
        <v>1135</v>
      </c>
      <c r="B174" s="9" t="s">
        <v>537</v>
      </c>
      <c r="C174" s="9" t="s">
        <v>296</v>
      </c>
      <c r="D174" s="9" t="s">
        <v>577</v>
      </c>
      <c r="E174" s="7" t="s">
        <v>1136</v>
      </c>
      <c r="F174" s="7" t="s">
        <v>1137</v>
      </c>
      <c r="G174" s="9" t="s">
        <v>35</v>
      </c>
      <c r="H174" s="9" t="s">
        <v>17</v>
      </c>
      <c r="I174" s="9" t="s">
        <v>199</v>
      </c>
      <c r="J174" s="10" t="s">
        <v>1138</v>
      </c>
      <c r="K174" s="7" t="s">
        <v>595</v>
      </c>
    </row>
    <row r="175" spans="1:11" ht="58.05" hidden="1" customHeight="1">
      <c r="A175" s="9" t="s">
        <v>1139</v>
      </c>
      <c r="B175" s="9" t="s">
        <v>537</v>
      </c>
      <c r="C175" s="9" t="s">
        <v>300</v>
      </c>
      <c r="D175" s="9" t="s">
        <v>564</v>
      </c>
      <c r="E175" s="7" t="s">
        <v>1140</v>
      </c>
      <c r="F175" s="7" t="s">
        <v>1141</v>
      </c>
      <c r="G175" s="9" t="s">
        <v>35</v>
      </c>
      <c r="H175" s="9" t="s">
        <v>17</v>
      </c>
      <c r="I175" s="9" t="s">
        <v>199</v>
      </c>
      <c r="J175" s="10"/>
      <c r="K175" s="7" t="s">
        <v>595</v>
      </c>
    </row>
    <row r="176" spans="1:11" ht="58.05" hidden="1" customHeight="1">
      <c r="A176" s="9" t="s">
        <v>1142</v>
      </c>
      <c r="B176" s="9" t="s">
        <v>537</v>
      </c>
      <c r="C176" s="9" t="s">
        <v>300</v>
      </c>
      <c r="D176" s="9" t="s">
        <v>568</v>
      </c>
      <c r="E176" s="7" t="s">
        <v>1143</v>
      </c>
      <c r="F176" s="7" t="s">
        <v>1144</v>
      </c>
      <c r="G176" s="9" t="s">
        <v>35</v>
      </c>
      <c r="H176" s="9" t="s">
        <v>17</v>
      </c>
      <c r="I176" s="9" t="s">
        <v>199</v>
      </c>
      <c r="J176" s="10" t="s">
        <v>1139</v>
      </c>
      <c r="K176" s="7" t="s">
        <v>595</v>
      </c>
    </row>
    <row r="177" spans="1:11" ht="58.05" hidden="1" customHeight="1">
      <c r="A177" s="9" t="s">
        <v>1145</v>
      </c>
      <c r="B177" s="9" t="s">
        <v>537</v>
      </c>
      <c r="C177" s="9" t="s">
        <v>300</v>
      </c>
      <c r="D177" s="9" t="s">
        <v>1113</v>
      </c>
      <c r="E177" s="7" t="s">
        <v>1146</v>
      </c>
      <c r="F177" s="7" t="s">
        <v>1147</v>
      </c>
      <c r="G177" s="9" t="s">
        <v>35</v>
      </c>
      <c r="H177" s="9" t="s">
        <v>17</v>
      </c>
      <c r="I177" s="9" t="s">
        <v>199</v>
      </c>
      <c r="J177" s="10"/>
      <c r="K177" s="7" t="s">
        <v>595</v>
      </c>
    </row>
    <row r="178" spans="1:11" ht="58.05" hidden="1" customHeight="1">
      <c r="A178" s="9" t="s">
        <v>1148</v>
      </c>
      <c r="B178" s="9" t="s">
        <v>537</v>
      </c>
      <c r="C178" s="9" t="s">
        <v>300</v>
      </c>
      <c r="D178" s="9" t="s">
        <v>572</v>
      </c>
      <c r="E178" s="7" t="s">
        <v>1149</v>
      </c>
      <c r="F178" s="7" t="s">
        <v>1150</v>
      </c>
      <c r="G178" s="9" t="s">
        <v>35</v>
      </c>
      <c r="H178" s="9" t="s">
        <v>17</v>
      </c>
      <c r="I178" s="9" t="s">
        <v>199</v>
      </c>
      <c r="J178" s="10" t="s">
        <v>1142</v>
      </c>
      <c r="K178" s="7" t="s">
        <v>575</v>
      </c>
    </row>
    <row r="179" spans="1:11" ht="58.05" hidden="1" customHeight="1">
      <c r="A179" s="9" t="s">
        <v>1151</v>
      </c>
      <c r="B179" s="9" t="s">
        <v>537</v>
      </c>
      <c r="C179" s="9" t="s">
        <v>300</v>
      </c>
      <c r="D179" s="9" t="s">
        <v>577</v>
      </c>
      <c r="E179" s="7" t="s">
        <v>1152</v>
      </c>
      <c r="F179" s="7" t="s">
        <v>1153</v>
      </c>
      <c r="G179" s="9" t="s">
        <v>35</v>
      </c>
      <c r="H179" s="9" t="s">
        <v>17</v>
      </c>
      <c r="I179" s="9" t="s">
        <v>199</v>
      </c>
      <c r="J179" s="10" t="s">
        <v>1154</v>
      </c>
      <c r="K179" s="7" t="s">
        <v>595</v>
      </c>
    </row>
    <row r="180" spans="1:11" ht="58.05" hidden="1" customHeight="1">
      <c r="A180" s="9" t="s">
        <v>1155</v>
      </c>
      <c r="B180" s="9" t="s">
        <v>537</v>
      </c>
      <c r="C180" s="9" t="s">
        <v>304</v>
      </c>
      <c r="D180" s="9" t="s">
        <v>564</v>
      </c>
      <c r="E180" s="7" t="s">
        <v>1156</v>
      </c>
      <c r="F180" s="7" t="s">
        <v>1157</v>
      </c>
      <c r="G180" s="9" t="s">
        <v>35</v>
      </c>
      <c r="H180" s="9" t="s">
        <v>17</v>
      </c>
      <c r="I180" s="9" t="s">
        <v>199</v>
      </c>
      <c r="J180" s="10"/>
      <c r="K180" s="7" t="s">
        <v>595</v>
      </c>
    </row>
    <row r="181" spans="1:11" ht="58.05" hidden="1" customHeight="1">
      <c r="A181" s="9" t="s">
        <v>1158</v>
      </c>
      <c r="B181" s="9" t="s">
        <v>537</v>
      </c>
      <c r="C181" s="9" t="s">
        <v>304</v>
      </c>
      <c r="D181" s="9" t="s">
        <v>568</v>
      </c>
      <c r="E181" s="7" t="s">
        <v>1159</v>
      </c>
      <c r="F181" s="7" t="s">
        <v>1160</v>
      </c>
      <c r="G181" s="9" t="s">
        <v>35</v>
      </c>
      <c r="H181" s="9" t="s">
        <v>17</v>
      </c>
      <c r="I181" s="9" t="s">
        <v>199</v>
      </c>
      <c r="J181" s="10" t="s">
        <v>1155</v>
      </c>
      <c r="K181" s="7" t="s">
        <v>595</v>
      </c>
    </row>
    <row r="182" spans="1:11" ht="58.05" hidden="1" customHeight="1">
      <c r="A182" s="9" t="s">
        <v>1161</v>
      </c>
      <c r="B182" s="9" t="s">
        <v>537</v>
      </c>
      <c r="C182" s="9" t="s">
        <v>304</v>
      </c>
      <c r="D182" s="9" t="s">
        <v>1113</v>
      </c>
      <c r="E182" s="7" t="s">
        <v>1162</v>
      </c>
      <c r="F182" s="7" t="s">
        <v>1163</v>
      </c>
      <c r="G182" s="9" t="s">
        <v>35</v>
      </c>
      <c r="H182" s="9" t="s">
        <v>17</v>
      </c>
      <c r="I182" s="9" t="s">
        <v>199</v>
      </c>
      <c r="J182" s="10"/>
      <c r="K182" s="7" t="s">
        <v>595</v>
      </c>
    </row>
    <row r="183" spans="1:11" ht="58.05" hidden="1" customHeight="1">
      <c r="A183" s="9" t="s">
        <v>1164</v>
      </c>
      <c r="B183" s="9" t="s">
        <v>537</v>
      </c>
      <c r="C183" s="9" t="s">
        <v>304</v>
      </c>
      <c r="D183" s="9" t="s">
        <v>572</v>
      </c>
      <c r="E183" s="7" t="s">
        <v>1165</v>
      </c>
      <c r="F183" s="7" t="s">
        <v>1166</v>
      </c>
      <c r="G183" s="9" t="s">
        <v>35</v>
      </c>
      <c r="H183" s="9" t="s">
        <v>17</v>
      </c>
      <c r="I183" s="9" t="s">
        <v>199</v>
      </c>
      <c r="J183" s="10" t="s">
        <v>1158</v>
      </c>
      <c r="K183" s="7" t="s">
        <v>575</v>
      </c>
    </row>
    <row r="184" spans="1:11" ht="58.05" hidden="1" customHeight="1">
      <c r="A184" s="9" t="s">
        <v>1167</v>
      </c>
      <c r="B184" s="9" t="s">
        <v>537</v>
      </c>
      <c r="C184" s="9" t="s">
        <v>304</v>
      </c>
      <c r="D184" s="9" t="s">
        <v>577</v>
      </c>
      <c r="E184" s="7" t="s">
        <v>1168</v>
      </c>
      <c r="F184" s="7" t="s">
        <v>1169</v>
      </c>
      <c r="G184" s="9" t="s">
        <v>35</v>
      </c>
      <c r="H184" s="9" t="s">
        <v>17</v>
      </c>
      <c r="I184" s="9" t="s">
        <v>199</v>
      </c>
      <c r="J184" s="10" t="s">
        <v>1170</v>
      </c>
      <c r="K184" s="7" t="s">
        <v>595</v>
      </c>
    </row>
    <row r="185" spans="1:11" ht="58.05" hidden="1" customHeight="1">
      <c r="A185" s="9" t="s">
        <v>1171</v>
      </c>
      <c r="B185" s="9" t="s">
        <v>537</v>
      </c>
      <c r="C185" s="9" t="s">
        <v>308</v>
      </c>
      <c r="D185" s="9" t="s">
        <v>564</v>
      </c>
      <c r="E185" s="7" t="s">
        <v>1172</v>
      </c>
      <c r="F185" s="7" t="s">
        <v>1173</v>
      </c>
      <c r="G185" s="9" t="s">
        <v>35</v>
      </c>
      <c r="H185" s="9" t="s">
        <v>17</v>
      </c>
      <c r="I185" s="9" t="s">
        <v>199</v>
      </c>
      <c r="J185" s="10"/>
      <c r="K185" s="7" t="s">
        <v>595</v>
      </c>
    </row>
    <row r="186" spans="1:11" ht="58.05" hidden="1" customHeight="1">
      <c r="A186" s="9" t="s">
        <v>1174</v>
      </c>
      <c r="B186" s="9" t="s">
        <v>537</v>
      </c>
      <c r="C186" s="9" t="s">
        <v>308</v>
      </c>
      <c r="D186" s="9" t="s">
        <v>568</v>
      </c>
      <c r="E186" s="7" t="s">
        <v>1175</v>
      </c>
      <c r="F186" s="7" t="s">
        <v>1176</v>
      </c>
      <c r="G186" s="9" t="s">
        <v>35</v>
      </c>
      <c r="H186" s="9" t="s">
        <v>17</v>
      </c>
      <c r="I186" s="9" t="s">
        <v>199</v>
      </c>
      <c r="J186" s="10" t="s">
        <v>1171</v>
      </c>
      <c r="K186" s="7" t="s">
        <v>595</v>
      </c>
    </row>
    <row r="187" spans="1:11" ht="58.05" hidden="1" customHeight="1">
      <c r="A187" s="9" t="s">
        <v>1177</v>
      </c>
      <c r="B187" s="9" t="s">
        <v>537</v>
      </c>
      <c r="C187" s="9" t="s">
        <v>308</v>
      </c>
      <c r="D187" s="9" t="s">
        <v>1113</v>
      </c>
      <c r="E187" s="7" t="s">
        <v>1178</v>
      </c>
      <c r="F187" s="7" t="s">
        <v>1179</v>
      </c>
      <c r="G187" s="9" t="s">
        <v>35</v>
      </c>
      <c r="H187" s="9" t="s">
        <v>17</v>
      </c>
      <c r="I187" s="9" t="s">
        <v>199</v>
      </c>
      <c r="J187" s="10"/>
      <c r="K187" s="7" t="s">
        <v>595</v>
      </c>
    </row>
    <row r="188" spans="1:11" ht="58.05" hidden="1" customHeight="1">
      <c r="A188" s="9" t="s">
        <v>1180</v>
      </c>
      <c r="B188" s="9" t="s">
        <v>537</v>
      </c>
      <c r="C188" s="9" t="s">
        <v>308</v>
      </c>
      <c r="D188" s="9" t="s">
        <v>572</v>
      </c>
      <c r="E188" s="7" t="s">
        <v>1181</v>
      </c>
      <c r="F188" s="7" t="s">
        <v>1182</v>
      </c>
      <c r="G188" s="9" t="s">
        <v>35</v>
      </c>
      <c r="H188" s="9" t="s">
        <v>17</v>
      </c>
      <c r="I188" s="9" t="s">
        <v>199</v>
      </c>
      <c r="J188" s="10" t="s">
        <v>1174</v>
      </c>
      <c r="K188" s="7" t="s">
        <v>575</v>
      </c>
    </row>
    <row r="189" spans="1:11" ht="58.05" hidden="1" customHeight="1">
      <c r="A189" s="9" t="s">
        <v>1183</v>
      </c>
      <c r="B189" s="9" t="s">
        <v>537</v>
      </c>
      <c r="C189" s="9" t="s">
        <v>308</v>
      </c>
      <c r="D189" s="9" t="s">
        <v>577</v>
      </c>
      <c r="E189" s="7" t="s">
        <v>1184</v>
      </c>
      <c r="F189" s="7" t="s">
        <v>1185</v>
      </c>
      <c r="G189" s="9" t="s">
        <v>35</v>
      </c>
      <c r="H189" s="9" t="s">
        <v>17</v>
      </c>
      <c r="I189" s="9" t="s">
        <v>199</v>
      </c>
      <c r="J189" s="10" t="s">
        <v>1186</v>
      </c>
      <c r="K189" s="7" t="s">
        <v>595</v>
      </c>
    </row>
    <row r="190" spans="1:11" ht="58.05" hidden="1" customHeight="1">
      <c r="A190" s="9" t="s">
        <v>1187</v>
      </c>
      <c r="B190" s="9" t="s">
        <v>541</v>
      </c>
      <c r="C190" s="9" t="s">
        <v>312</v>
      </c>
      <c r="D190" s="9" t="s">
        <v>847</v>
      </c>
      <c r="E190" s="7" t="s">
        <v>1188</v>
      </c>
      <c r="F190" s="7" t="s">
        <v>1189</v>
      </c>
      <c r="G190" s="9" t="s">
        <v>37</v>
      </c>
      <c r="H190" s="9" t="s">
        <v>16</v>
      </c>
      <c r="I190" s="9" t="s">
        <v>52</v>
      </c>
      <c r="J190" s="10"/>
      <c r="K190" s="7" t="s">
        <v>317</v>
      </c>
    </row>
    <row r="191" spans="1:11" ht="58.05" hidden="1" customHeight="1">
      <c r="A191" s="9" t="s">
        <v>1190</v>
      </c>
      <c r="B191" s="9" t="s">
        <v>541</v>
      </c>
      <c r="C191" s="9" t="s">
        <v>312</v>
      </c>
      <c r="D191" s="9" t="s">
        <v>568</v>
      </c>
      <c r="E191" s="7" t="s">
        <v>1191</v>
      </c>
      <c r="F191" s="7" t="s">
        <v>1192</v>
      </c>
      <c r="G191" s="9" t="s">
        <v>37</v>
      </c>
      <c r="H191" s="9" t="s">
        <v>16</v>
      </c>
      <c r="I191" s="9" t="s">
        <v>52</v>
      </c>
      <c r="J191" s="10"/>
      <c r="K191" s="7" t="s">
        <v>317</v>
      </c>
    </row>
    <row r="192" spans="1:11" ht="58.05" hidden="1" customHeight="1">
      <c r="A192" s="9" t="s">
        <v>1193</v>
      </c>
      <c r="B192" s="9" t="s">
        <v>541</v>
      </c>
      <c r="C192" s="9" t="s">
        <v>312</v>
      </c>
      <c r="D192" s="9" t="s">
        <v>577</v>
      </c>
      <c r="E192" s="7" t="s">
        <v>1194</v>
      </c>
      <c r="F192" s="7" t="s">
        <v>1195</v>
      </c>
      <c r="G192" s="9" t="s">
        <v>37</v>
      </c>
      <c r="H192" s="9" t="s">
        <v>16</v>
      </c>
      <c r="I192" s="9" t="s">
        <v>199</v>
      </c>
      <c r="J192" s="10" t="s">
        <v>1196</v>
      </c>
      <c r="K192" s="7" t="s">
        <v>595</v>
      </c>
    </row>
    <row r="193" spans="1:11" ht="58.05" hidden="1" customHeight="1">
      <c r="A193" s="9" t="s">
        <v>1197</v>
      </c>
      <c r="B193" s="9" t="s">
        <v>541</v>
      </c>
      <c r="C193" s="9" t="s">
        <v>318</v>
      </c>
      <c r="D193" s="9" t="s">
        <v>847</v>
      </c>
      <c r="E193" s="7" t="s">
        <v>1198</v>
      </c>
      <c r="F193" s="7" t="s">
        <v>1199</v>
      </c>
      <c r="G193" s="9" t="s">
        <v>37</v>
      </c>
      <c r="H193" s="9" t="s">
        <v>17</v>
      </c>
      <c r="I193" s="9" t="s">
        <v>199</v>
      </c>
      <c r="J193" s="10"/>
      <c r="K193" s="7" t="s">
        <v>595</v>
      </c>
    </row>
    <row r="194" spans="1:11" ht="58.05" hidden="1" customHeight="1">
      <c r="A194" s="9" t="s">
        <v>1200</v>
      </c>
      <c r="B194" s="9" t="s">
        <v>541</v>
      </c>
      <c r="C194" s="9" t="s">
        <v>318</v>
      </c>
      <c r="D194" s="9" t="s">
        <v>568</v>
      </c>
      <c r="E194" s="7" t="s">
        <v>1201</v>
      </c>
      <c r="F194" s="7" t="s">
        <v>1202</v>
      </c>
      <c r="G194" s="9" t="s">
        <v>37</v>
      </c>
      <c r="H194" s="9" t="s">
        <v>17</v>
      </c>
      <c r="I194" s="9" t="s">
        <v>199</v>
      </c>
      <c r="J194" s="10"/>
      <c r="K194" s="7" t="s">
        <v>595</v>
      </c>
    </row>
    <row r="195" spans="1:11" ht="58.05" hidden="1" customHeight="1">
      <c r="A195" s="9" t="s">
        <v>1203</v>
      </c>
      <c r="B195" s="9" t="s">
        <v>541</v>
      </c>
      <c r="C195" s="9" t="s">
        <v>318</v>
      </c>
      <c r="D195" s="9" t="s">
        <v>577</v>
      </c>
      <c r="E195" s="7" t="s">
        <v>1204</v>
      </c>
      <c r="F195" s="7" t="s">
        <v>1205</v>
      </c>
      <c r="G195" s="9" t="s">
        <v>37</v>
      </c>
      <c r="H195" s="9" t="s">
        <v>17</v>
      </c>
      <c r="I195" s="9" t="s">
        <v>199</v>
      </c>
      <c r="J195" s="10" t="s">
        <v>1206</v>
      </c>
      <c r="K195" s="7" t="s">
        <v>595</v>
      </c>
    </row>
    <row r="196" spans="1:11" ht="58.05" hidden="1" customHeight="1">
      <c r="A196" s="9" t="s">
        <v>1207</v>
      </c>
      <c r="B196" s="9" t="s">
        <v>541</v>
      </c>
      <c r="C196" s="9" t="s">
        <v>323</v>
      </c>
      <c r="D196" s="9" t="s">
        <v>1208</v>
      </c>
      <c r="E196" s="7" t="s">
        <v>1209</v>
      </c>
      <c r="F196" s="7" t="s">
        <v>1210</v>
      </c>
      <c r="G196" s="9" t="s">
        <v>37</v>
      </c>
      <c r="H196" s="9" t="s">
        <v>16</v>
      </c>
      <c r="I196" s="9" t="s">
        <v>52</v>
      </c>
      <c r="J196" s="10"/>
      <c r="K196" s="7" t="s">
        <v>329</v>
      </c>
    </row>
    <row r="197" spans="1:11" ht="58.05" hidden="1" customHeight="1">
      <c r="A197" s="9" t="s">
        <v>1211</v>
      </c>
      <c r="B197" s="9" t="s">
        <v>541</v>
      </c>
      <c r="C197" s="9" t="s">
        <v>323</v>
      </c>
      <c r="D197" s="9" t="s">
        <v>577</v>
      </c>
      <c r="E197" s="7" t="s">
        <v>1212</v>
      </c>
      <c r="F197" s="7" t="s">
        <v>1213</v>
      </c>
      <c r="G197" s="9" t="s">
        <v>37</v>
      </c>
      <c r="H197" s="9" t="s">
        <v>16</v>
      </c>
      <c r="I197" s="9" t="s">
        <v>199</v>
      </c>
      <c r="J197" s="10" t="s">
        <v>1207</v>
      </c>
      <c r="K197" s="7" t="s">
        <v>595</v>
      </c>
    </row>
    <row r="198" spans="1:11" ht="58.05" hidden="1" customHeight="1">
      <c r="A198" s="9" t="s">
        <v>1214</v>
      </c>
      <c r="B198" s="9" t="s">
        <v>541</v>
      </c>
      <c r="C198" s="9" t="s">
        <v>330</v>
      </c>
      <c r="D198" s="9" t="s">
        <v>324</v>
      </c>
      <c r="E198" s="7" t="s">
        <v>1215</v>
      </c>
      <c r="F198" s="7" t="s">
        <v>1216</v>
      </c>
      <c r="G198" s="9" t="s">
        <v>37</v>
      </c>
      <c r="H198" s="9" t="s">
        <v>16</v>
      </c>
      <c r="I198" s="9" t="s">
        <v>199</v>
      </c>
      <c r="J198" s="10"/>
      <c r="K198" s="7" t="s">
        <v>595</v>
      </c>
    </row>
    <row r="199" spans="1:11" ht="58.05" hidden="1" customHeight="1">
      <c r="A199" s="9" t="s">
        <v>1217</v>
      </c>
      <c r="B199" s="9" t="s">
        <v>541</v>
      </c>
      <c r="C199" s="9" t="s">
        <v>330</v>
      </c>
      <c r="D199" s="9" t="s">
        <v>577</v>
      </c>
      <c r="E199" s="7" t="s">
        <v>1218</v>
      </c>
      <c r="F199" s="7" t="s">
        <v>1219</v>
      </c>
      <c r="G199" s="9" t="s">
        <v>37</v>
      </c>
      <c r="H199" s="9" t="s">
        <v>16</v>
      </c>
      <c r="I199" s="9" t="s">
        <v>199</v>
      </c>
      <c r="J199" s="10" t="s">
        <v>1214</v>
      </c>
      <c r="K199" s="7" t="s">
        <v>595</v>
      </c>
    </row>
    <row r="200" spans="1:11" ht="58.05" hidden="1" customHeight="1">
      <c r="A200" s="9" t="s">
        <v>1220</v>
      </c>
      <c r="B200" s="9" t="s">
        <v>541</v>
      </c>
      <c r="C200" s="9" t="s">
        <v>334</v>
      </c>
      <c r="D200" s="9" t="s">
        <v>577</v>
      </c>
      <c r="E200" s="7" t="s">
        <v>1221</v>
      </c>
      <c r="F200" s="7" t="s">
        <v>1222</v>
      </c>
      <c r="G200" s="9" t="s">
        <v>37</v>
      </c>
      <c r="H200" s="9" t="s">
        <v>16</v>
      </c>
      <c r="I200" s="9" t="s">
        <v>88</v>
      </c>
      <c r="J200" s="10"/>
      <c r="K200" s="7" t="s">
        <v>829</v>
      </c>
    </row>
    <row r="201" spans="1:11" ht="58.05" hidden="1" customHeight="1">
      <c r="A201" s="9" t="s">
        <v>1223</v>
      </c>
      <c r="B201" s="9" t="s">
        <v>541</v>
      </c>
      <c r="C201" s="9" t="s">
        <v>340</v>
      </c>
      <c r="D201" s="9" t="s">
        <v>577</v>
      </c>
      <c r="E201" s="7" t="s">
        <v>1224</v>
      </c>
      <c r="F201" s="7" t="s">
        <v>1225</v>
      </c>
      <c r="G201" s="9" t="s">
        <v>37</v>
      </c>
      <c r="H201" s="9" t="s">
        <v>16</v>
      </c>
      <c r="I201" s="9" t="s">
        <v>199</v>
      </c>
      <c r="J201" s="10"/>
      <c r="K201" s="7" t="s">
        <v>595</v>
      </c>
    </row>
    <row r="202" spans="1:11" ht="58.05" hidden="1" customHeight="1">
      <c r="A202" s="9" t="s">
        <v>1226</v>
      </c>
      <c r="B202" s="9" t="s">
        <v>541</v>
      </c>
      <c r="C202" s="9" t="s">
        <v>344</v>
      </c>
      <c r="D202" s="9" t="s">
        <v>1227</v>
      </c>
      <c r="E202" s="7" t="s">
        <v>1228</v>
      </c>
      <c r="F202" s="7" t="s">
        <v>1229</v>
      </c>
      <c r="G202" s="9" t="s">
        <v>37</v>
      </c>
      <c r="H202" s="9" t="s">
        <v>16</v>
      </c>
      <c r="I202" s="9" t="s">
        <v>199</v>
      </c>
      <c r="J202" s="10"/>
      <c r="K202" s="7" t="s">
        <v>595</v>
      </c>
    </row>
    <row r="203" spans="1:11" ht="58.05" hidden="1" customHeight="1">
      <c r="A203" s="9" t="s">
        <v>1230</v>
      </c>
      <c r="B203" s="9" t="s">
        <v>541</v>
      </c>
      <c r="C203" s="9" t="s">
        <v>344</v>
      </c>
      <c r="D203" s="9" t="s">
        <v>577</v>
      </c>
      <c r="E203" s="7" t="s">
        <v>1231</v>
      </c>
      <c r="F203" s="7" t="s">
        <v>1232</v>
      </c>
      <c r="G203" s="9" t="s">
        <v>37</v>
      </c>
      <c r="H203" s="9" t="s">
        <v>16</v>
      </c>
      <c r="I203" s="9" t="s">
        <v>199</v>
      </c>
      <c r="J203" s="10" t="s">
        <v>1226</v>
      </c>
      <c r="K203" s="7" t="s">
        <v>595</v>
      </c>
    </row>
    <row r="204" spans="1:11" ht="58.05" hidden="1" customHeight="1">
      <c r="A204" s="9" t="s">
        <v>1233</v>
      </c>
      <c r="B204" s="9" t="s">
        <v>541</v>
      </c>
      <c r="C204" s="9" t="s">
        <v>349</v>
      </c>
      <c r="D204" s="9" t="s">
        <v>1227</v>
      </c>
      <c r="E204" s="7" t="s">
        <v>1234</v>
      </c>
      <c r="F204" s="7" t="s">
        <v>1235</v>
      </c>
      <c r="G204" s="9" t="s">
        <v>37</v>
      </c>
      <c r="H204" s="9" t="s">
        <v>16</v>
      </c>
      <c r="I204" s="9" t="s">
        <v>199</v>
      </c>
      <c r="J204" s="10"/>
      <c r="K204" s="7" t="s">
        <v>595</v>
      </c>
    </row>
    <row r="205" spans="1:11" ht="58.05" hidden="1" customHeight="1">
      <c r="A205" s="9" t="s">
        <v>1236</v>
      </c>
      <c r="B205" s="9" t="s">
        <v>541</v>
      </c>
      <c r="C205" s="9" t="s">
        <v>349</v>
      </c>
      <c r="D205" s="9" t="s">
        <v>577</v>
      </c>
      <c r="E205" s="7" t="s">
        <v>1237</v>
      </c>
      <c r="F205" s="7" t="s">
        <v>1238</v>
      </c>
      <c r="G205" s="9" t="s">
        <v>37</v>
      </c>
      <c r="H205" s="9" t="s">
        <v>16</v>
      </c>
      <c r="I205" s="9" t="s">
        <v>199</v>
      </c>
      <c r="J205" s="10" t="s">
        <v>1233</v>
      </c>
      <c r="K205" s="7" t="s">
        <v>595</v>
      </c>
    </row>
    <row r="206" spans="1:11" ht="58.05" hidden="1" customHeight="1">
      <c r="A206" s="9" t="s">
        <v>1239</v>
      </c>
      <c r="B206" s="9" t="s">
        <v>541</v>
      </c>
      <c r="C206" s="9" t="s">
        <v>353</v>
      </c>
      <c r="D206" s="9" t="s">
        <v>1227</v>
      </c>
      <c r="E206" s="7" t="s">
        <v>1240</v>
      </c>
      <c r="F206" s="7" t="s">
        <v>1241</v>
      </c>
      <c r="G206" s="9" t="s">
        <v>37</v>
      </c>
      <c r="H206" s="9" t="s">
        <v>16</v>
      </c>
      <c r="I206" s="9" t="s">
        <v>199</v>
      </c>
      <c r="J206" s="10"/>
      <c r="K206" s="7" t="s">
        <v>595</v>
      </c>
    </row>
    <row r="207" spans="1:11" ht="58.05" hidden="1" customHeight="1">
      <c r="A207" s="9" t="s">
        <v>1242</v>
      </c>
      <c r="B207" s="9" t="s">
        <v>541</v>
      </c>
      <c r="C207" s="9" t="s">
        <v>353</v>
      </c>
      <c r="D207" s="9" t="s">
        <v>324</v>
      </c>
      <c r="E207" s="7" t="s">
        <v>1243</v>
      </c>
      <c r="F207" s="7" t="s">
        <v>1244</v>
      </c>
      <c r="G207" s="9" t="s">
        <v>37</v>
      </c>
      <c r="H207" s="9" t="s">
        <v>16</v>
      </c>
      <c r="I207" s="9" t="s">
        <v>199</v>
      </c>
      <c r="J207" s="10"/>
      <c r="K207" s="7" t="s">
        <v>595</v>
      </c>
    </row>
    <row r="208" spans="1:11" ht="58.05" hidden="1" customHeight="1">
      <c r="A208" s="9" t="s">
        <v>1245</v>
      </c>
      <c r="B208" s="9" t="s">
        <v>541</v>
      </c>
      <c r="C208" s="9" t="s">
        <v>353</v>
      </c>
      <c r="D208" s="9" t="s">
        <v>577</v>
      </c>
      <c r="E208" s="7" t="s">
        <v>1246</v>
      </c>
      <c r="F208" s="7" t="s">
        <v>1247</v>
      </c>
      <c r="G208" s="9" t="s">
        <v>37</v>
      </c>
      <c r="H208" s="9" t="s">
        <v>16</v>
      </c>
      <c r="I208" s="9" t="s">
        <v>199</v>
      </c>
      <c r="J208" s="10" t="s">
        <v>1248</v>
      </c>
      <c r="K208" s="7" t="s">
        <v>595</v>
      </c>
    </row>
    <row r="209" spans="1:11" ht="58.05" hidden="1" customHeight="1">
      <c r="A209" s="9" t="s">
        <v>1249</v>
      </c>
      <c r="B209" s="9" t="s">
        <v>546</v>
      </c>
      <c r="C209" s="9" t="s">
        <v>357</v>
      </c>
      <c r="D209" s="9" t="s">
        <v>564</v>
      </c>
      <c r="E209" s="7" t="s">
        <v>1250</v>
      </c>
      <c r="F209" s="7" t="s">
        <v>1251</v>
      </c>
      <c r="G209" s="9" t="s">
        <v>39</v>
      </c>
      <c r="H209" s="9" t="s">
        <v>17</v>
      </c>
      <c r="I209" s="9" t="s">
        <v>199</v>
      </c>
      <c r="J209" s="10"/>
      <c r="K209" s="7" t="s">
        <v>595</v>
      </c>
    </row>
    <row r="210" spans="1:11" ht="58.05" hidden="1" customHeight="1">
      <c r="A210" s="9" t="s">
        <v>1252</v>
      </c>
      <c r="B210" s="9" t="s">
        <v>546</v>
      </c>
      <c r="C210" s="9" t="s">
        <v>357</v>
      </c>
      <c r="D210" s="9" t="s">
        <v>568</v>
      </c>
      <c r="E210" s="7" t="s">
        <v>1253</v>
      </c>
      <c r="F210" s="7" t="s">
        <v>1254</v>
      </c>
      <c r="G210" s="9" t="s">
        <v>39</v>
      </c>
      <c r="H210" s="9" t="s">
        <v>17</v>
      </c>
      <c r="I210" s="9" t="s">
        <v>199</v>
      </c>
      <c r="J210" s="10" t="s">
        <v>1249</v>
      </c>
      <c r="K210" s="7" t="s">
        <v>595</v>
      </c>
    </row>
    <row r="211" spans="1:11" ht="58.05" hidden="1" customHeight="1">
      <c r="A211" s="9" t="s">
        <v>1255</v>
      </c>
      <c r="B211" s="9" t="s">
        <v>546</v>
      </c>
      <c r="C211" s="9" t="s">
        <v>357</v>
      </c>
      <c r="D211" s="9" t="s">
        <v>572</v>
      </c>
      <c r="E211" s="7" t="s">
        <v>1256</v>
      </c>
      <c r="F211" s="7" t="s">
        <v>1257</v>
      </c>
      <c r="G211" s="9" t="s">
        <v>39</v>
      </c>
      <c r="H211" s="9" t="s">
        <v>17</v>
      </c>
      <c r="I211" s="9" t="s">
        <v>199</v>
      </c>
      <c r="J211" s="10" t="s">
        <v>1252</v>
      </c>
      <c r="K211" s="7" t="s">
        <v>575</v>
      </c>
    </row>
    <row r="212" spans="1:11" ht="58.05" hidden="1" customHeight="1">
      <c r="A212" s="9" t="s">
        <v>1258</v>
      </c>
      <c r="B212" s="9" t="s">
        <v>546</v>
      </c>
      <c r="C212" s="9" t="s">
        <v>357</v>
      </c>
      <c r="D212" s="9" t="s">
        <v>577</v>
      </c>
      <c r="E212" s="7" t="s">
        <v>1259</v>
      </c>
      <c r="F212" s="7" t="s">
        <v>1260</v>
      </c>
      <c r="G212" s="9" t="s">
        <v>39</v>
      </c>
      <c r="H212" s="9" t="s">
        <v>17</v>
      </c>
      <c r="I212" s="9" t="s">
        <v>199</v>
      </c>
      <c r="J212" s="10" t="s">
        <v>1261</v>
      </c>
      <c r="K212" s="7" t="s">
        <v>595</v>
      </c>
    </row>
    <row r="213" spans="1:11" ht="58.05" hidden="1" customHeight="1">
      <c r="A213" s="9" t="s">
        <v>1262</v>
      </c>
      <c r="B213" s="9" t="s">
        <v>546</v>
      </c>
      <c r="C213" s="9" t="s">
        <v>362</v>
      </c>
      <c r="D213" s="9" t="s">
        <v>564</v>
      </c>
      <c r="E213" s="7" t="s">
        <v>1263</v>
      </c>
      <c r="F213" s="7" t="s">
        <v>1264</v>
      </c>
      <c r="G213" s="9" t="s">
        <v>39</v>
      </c>
      <c r="H213" s="9" t="s">
        <v>17</v>
      </c>
      <c r="I213" s="9" t="s">
        <v>88</v>
      </c>
      <c r="J213" s="10"/>
      <c r="K213" s="7" t="s">
        <v>366</v>
      </c>
    </row>
    <row r="214" spans="1:11" ht="58.05" hidden="1" customHeight="1">
      <c r="A214" s="9" t="s">
        <v>1265</v>
      </c>
      <c r="B214" s="9" t="s">
        <v>546</v>
      </c>
      <c r="C214" s="9" t="s">
        <v>362</v>
      </c>
      <c r="D214" s="9" t="s">
        <v>568</v>
      </c>
      <c r="E214" s="7" t="s">
        <v>1266</v>
      </c>
      <c r="F214" s="7" t="s">
        <v>1267</v>
      </c>
      <c r="G214" s="9" t="s">
        <v>39</v>
      </c>
      <c r="H214" s="9" t="s">
        <v>17</v>
      </c>
      <c r="I214" s="9" t="s">
        <v>52</v>
      </c>
      <c r="J214" s="10" t="s">
        <v>1262</v>
      </c>
      <c r="K214" s="7" t="s">
        <v>366</v>
      </c>
    </row>
    <row r="215" spans="1:11" ht="58.05" hidden="1" customHeight="1">
      <c r="A215" s="9" t="s">
        <v>1268</v>
      </c>
      <c r="B215" s="9" t="s">
        <v>546</v>
      </c>
      <c r="C215" s="9" t="s">
        <v>362</v>
      </c>
      <c r="D215" s="9" t="s">
        <v>572</v>
      </c>
      <c r="E215" s="7" t="s">
        <v>1269</v>
      </c>
      <c r="F215" s="7" t="s">
        <v>1270</v>
      </c>
      <c r="G215" s="9" t="s">
        <v>39</v>
      </c>
      <c r="H215" s="9" t="s">
        <v>17</v>
      </c>
      <c r="I215" s="9" t="s">
        <v>199</v>
      </c>
      <c r="J215" s="10" t="s">
        <v>1265</v>
      </c>
      <c r="K215" s="7" t="s">
        <v>575</v>
      </c>
    </row>
    <row r="216" spans="1:11" ht="58.05" hidden="1" customHeight="1">
      <c r="A216" s="9" t="s">
        <v>1271</v>
      </c>
      <c r="B216" s="9" t="s">
        <v>546</v>
      </c>
      <c r="C216" s="9" t="s">
        <v>362</v>
      </c>
      <c r="D216" s="9" t="s">
        <v>577</v>
      </c>
      <c r="E216" s="7" t="s">
        <v>1272</v>
      </c>
      <c r="F216" s="7" t="s">
        <v>1273</v>
      </c>
      <c r="G216" s="9" t="s">
        <v>39</v>
      </c>
      <c r="H216" s="9" t="s">
        <v>17</v>
      </c>
      <c r="I216" s="9" t="s">
        <v>199</v>
      </c>
      <c r="J216" s="10" t="s">
        <v>1274</v>
      </c>
      <c r="K216" s="7" t="s">
        <v>595</v>
      </c>
    </row>
    <row r="217" spans="1:11" ht="58.05" hidden="1" customHeight="1">
      <c r="A217" s="9" t="s">
        <v>1275</v>
      </c>
      <c r="B217" s="9" t="s">
        <v>546</v>
      </c>
      <c r="C217" s="9" t="s">
        <v>367</v>
      </c>
      <c r="D217" s="9" t="s">
        <v>564</v>
      </c>
      <c r="E217" s="7" t="s">
        <v>1276</v>
      </c>
      <c r="F217" s="7" t="s">
        <v>1277</v>
      </c>
      <c r="G217" s="9" t="s">
        <v>39</v>
      </c>
      <c r="H217" s="9" t="s">
        <v>17</v>
      </c>
      <c r="I217" s="9" t="s">
        <v>88</v>
      </c>
      <c r="J217" s="10"/>
      <c r="K217" s="7" t="s">
        <v>371</v>
      </c>
    </row>
    <row r="218" spans="1:11" ht="58.05" hidden="1" customHeight="1">
      <c r="A218" s="9" t="s">
        <v>1278</v>
      </c>
      <c r="B218" s="9" t="s">
        <v>546</v>
      </c>
      <c r="C218" s="9" t="s">
        <v>367</v>
      </c>
      <c r="D218" s="9" t="s">
        <v>568</v>
      </c>
      <c r="E218" s="7" t="s">
        <v>1279</v>
      </c>
      <c r="F218" s="7" t="s">
        <v>1280</v>
      </c>
      <c r="G218" s="9" t="s">
        <v>39</v>
      </c>
      <c r="H218" s="9" t="s">
        <v>17</v>
      </c>
      <c r="I218" s="9" t="s">
        <v>52</v>
      </c>
      <c r="J218" s="10" t="s">
        <v>1275</v>
      </c>
      <c r="K218" s="7" t="s">
        <v>371</v>
      </c>
    </row>
    <row r="219" spans="1:11" ht="58.05" hidden="1" customHeight="1">
      <c r="A219" s="9" t="s">
        <v>1281</v>
      </c>
      <c r="B219" s="9" t="s">
        <v>546</v>
      </c>
      <c r="C219" s="9" t="s">
        <v>367</v>
      </c>
      <c r="D219" s="9" t="s">
        <v>572</v>
      </c>
      <c r="E219" s="7" t="s">
        <v>1282</v>
      </c>
      <c r="F219" s="7" t="s">
        <v>1283</v>
      </c>
      <c r="G219" s="9" t="s">
        <v>39</v>
      </c>
      <c r="H219" s="9" t="s">
        <v>17</v>
      </c>
      <c r="I219" s="9" t="s">
        <v>199</v>
      </c>
      <c r="J219" s="10" t="s">
        <v>1278</v>
      </c>
      <c r="K219" s="7" t="s">
        <v>575</v>
      </c>
    </row>
    <row r="220" spans="1:11" ht="58.05" hidden="1" customHeight="1">
      <c r="A220" s="9" t="s">
        <v>1284</v>
      </c>
      <c r="B220" s="9" t="s">
        <v>546</v>
      </c>
      <c r="C220" s="9" t="s">
        <v>367</v>
      </c>
      <c r="D220" s="9" t="s">
        <v>577</v>
      </c>
      <c r="E220" s="7" t="s">
        <v>1285</v>
      </c>
      <c r="F220" s="7" t="s">
        <v>1286</v>
      </c>
      <c r="G220" s="9" t="s">
        <v>39</v>
      </c>
      <c r="H220" s="9" t="s">
        <v>17</v>
      </c>
      <c r="I220" s="9" t="s">
        <v>199</v>
      </c>
      <c r="J220" s="10" t="s">
        <v>1287</v>
      </c>
      <c r="K220" s="7" t="s">
        <v>595</v>
      </c>
    </row>
    <row r="221" spans="1:11" ht="58.05" hidden="1" customHeight="1">
      <c r="A221" s="9" t="s">
        <v>1288</v>
      </c>
      <c r="B221" s="9" t="s">
        <v>546</v>
      </c>
      <c r="C221" s="9" t="s">
        <v>372</v>
      </c>
      <c r="D221" s="9" t="s">
        <v>564</v>
      </c>
      <c r="E221" s="7" t="s">
        <v>1289</v>
      </c>
      <c r="F221" s="7" t="s">
        <v>1290</v>
      </c>
      <c r="G221" s="9" t="s">
        <v>39</v>
      </c>
      <c r="H221" s="9" t="s">
        <v>17</v>
      </c>
      <c r="I221" s="9" t="s">
        <v>88</v>
      </c>
      <c r="J221" s="10"/>
      <c r="K221" s="7" t="s">
        <v>1291</v>
      </c>
    </row>
    <row r="222" spans="1:11" ht="58.05" hidden="1" customHeight="1">
      <c r="A222" s="9" t="s">
        <v>1292</v>
      </c>
      <c r="B222" s="9" t="s">
        <v>546</v>
      </c>
      <c r="C222" s="9" t="s">
        <v>372</v>
      </c>
      <c r="D222" s="9" t="s">
        <v>568</v>
      </c>
      <c r="E222" s="7" t="s">
        <v>1293</v>
      </c>
      <c r="F222" s="7" t="s">
        <v>1294</v>
      </c>
      <c r="G222" s="9" t="s">
        <v>39</v>
      </c>
      <c r="H222" s="9" t="s">
        <v>17</v>
      </c>
      <c r="I222" s="9" t="s">
        <v>199</v>
      </c>
      <c r="J222" s="10" t="s">
        <v>1288</v>
      </c>
      <c r="K222" s="7" t="s">
        <v>595</v>
      </c>
    </row>
    <row r="223" spans="1:11" ht="58.05" hidden="1" customHeight="1">
      <c r="A223" s="9" t="s">
        <v>1295</v>
      </c>
      <c r="B223" s="9" t="s">
        <v>546</v>
      </c>
      <c r="C223" s="9" t="s">
        <v>372</v>
      </c>
      <c r="D223" s="9" t="s">
        <v>572</v>
      </c>
      <c r="E223" s="7" t="s">
        <v>1296</v>
      </c>
      <c r="F223" s="7" t="s">
        <v>1297</v>
      </c>
      <c r="G223" s="9" t="s">
        <v>39</v>
      </c>
      <c r="H223" s="9" t="s">
        <v>17</v>
      </c>
      <c r="I223" s="9" t="s">
        <v>199</v>
      </c>
      <c r="J223" s="10" t="s">
        <v>1292</v>
      </c>
      <c r="K223" s="7" t="s">
        <v>575</v>
      </c>
    </row>
    <row r="224" spans="1:11" ht="58.05" hidden="1" customHeight="1">
      <c r="A224" s="9" t="s">
        <v>1298</v>
      </c>
      <c r="B224" s="9" t="s">
        <v>546</v>
      </c>
      <c r="C224" s="9" t="s">
        <v>372</v>
      </c>
      <c r="D224" s="9" t="s">
        <v>577</v>
      </c>
      <c r="E224" s="7" t="s">
        <v>1299</v>
      </c>
      <c r="F224" s="7" t="s">
        <v>1300</v>
      </c>
      <c r="G224" s="9" t="s">
        <v>39</v>
      </c>
      <c r="H224" s="9" t="s">
        <v>17</v>
      </c>
      <c r="I224" s="9" t="s">
        <v>199</v>
      </c>
      <c r="J224" s="10" t="s">
        <v>1301</v>
      </c>
      <c r="K224" s="7" t="s">
        <v>595</v>
      </c>
    </row>
    <row r="225" spans="1:11" ht="58.05" hidden="1" customHeight="1">
      <c r="A225" s="9" t="s">
        <v>1302</v>
      </c>
      <c r="B225" s="9" t="s">
        <v>546</v>
      </c>
      <c r="C225" s="9" t="s">
        <v>377</v>
      </c>
      <c r="D225" s="9" t="s">
        <v>564</v>
      </c>
      <c r="E225" s="7" t="s">
        <v>1303</v>
      </c>
      <c r="F225" s="7" t="s">
        <v>1304</v>
      </c>
      <c r="G225" s="9" t="s">
        <v>39</v>
      </c>
      <c r="H225" s="9" t="s">
        <v>17</v>
      </c>
      <c r="I225" s="9" t="s">
        <v>88</v>
      </c>
      <c r="J225" s="10"/>
      <c r="K225" s="7" t="s">
        <v>1291</v>
      </c>
    </row>
    <row r="226" spans="1:11" ht="58.05" hidden="1" customHeight="1">
      <c r="A226" s="9" t="s">
        <v>1305</v>
      </c>
      <c r="B226" s="9" t="s">
        <v>546</v>
      </c>
      <c r="C226" s="9" t="s">
        <v>377</v>
      </c>
      <c r="D226" s="9" t="s">
        <v>568</v>
      </c>
      <c r="E226" s="7" t="s">
        <v>1306</v>
      </c>
      <c r="F226" s="7" t="s">
        <v>1307</v>
      </c>
      <c r="G226" s="9" t="s">
        <v>39</v>
      </c>
      <c r="H226" s="9" t="s">
        <v>17</v>
      </c>
      <c r="I226" s="9" t="s">
        <v>199</v>
      </c>
      <c r="J226" s="10" t="s">
        <v>1302</v>
      </c>
      <c r="K226" s="7" t="s">
        <v>595</v>
      </c>
    </row>
    <row r="227" spans="1:11" ht="58.05" hidden="1" customHeight="1">
      <c r="A227" s="9" t="s">
        <v>1308</v>
      </c>
      <c r="B227" s="9" t="s">
        <v>546</v>
      </c>
      <c r="C227" s="9" t="s">
        <v>377</v>
      </c>
      <c r="D227" s="9" t="s">
        <v>572</v>
      </c>
      <c r="E227" s="7" t="s">
        <v>1309</v>
      </c>
      <c r="F227" s="7" t="s">
        <v>1310</v>
      </c>
      <c r="G227" s="9" t="s">
        <v>39</v>
      </c>
      <c r="H227" s="9" t="s">
        <v>17</v>
      </c>
      <c r="I227" s="9" t="s">
        <v>199</v>
      </c>
      <c r="J227" s="10" t="s">
        <v>1305</v>
      </c>
      <c r="K227" s="7" t="s">
        <v>575</v>
      </c>
    </row>
    <row r="228" spans="1:11" ht="58.05" hidden="1" customHeight="1">
      <c r="A228" s="9" t="s">
        <v>1311</v>
      </c>
      <c r="B228" s="9" t="s">
        <v>546</v>
      </c>
      <c r="C228" s="9" t="s">
        <v>377</v>
      </c>
      <c r="D228" s="9" t="s">
        <v>577</v>
      </c>
      <c r="E228" s="7" t="s">
        <v>1312</v>
      </c>
      <c r="F228" s="7" t="s">
        <v>1313</v>
      </c>
      <c r="G228" s="9" t="s">
        <v>39</v>
      </c>
      <c r="H228" s="9" t="s">
        <v>17</v>
      </c>
      <c r="I228" s="9" t="s">
        <v>199</v>
      </c>
      <c r="J228" s="10" t="s">
        <v>1314</v>
      </c>
      <c r="K228" s="7" t="s">
        <v>595</v>
      </c>
    </row>
    <row r="229" spans="1:11" ht="58.05" hidden="1" customHeight="1">
      <c r="A229" s="9" t="s">
        <v>1315</v>
      </c>
      <c r="B229" s="9" t="s">
        <v>546</v>
      </c>
      <c r="C229" s="9" t="s">
        <v>381</v>
      </c>
      <c r="D229" s="9" t="s">
        <v>564</v>
      </c>
      <c r="E229" s="7" t="s">
        <v>1316</v>
      </c>
      <c r="F229" s="7" t="s">
        <v>1317</v>
      </c>
      <c r="G229" s="9" t="s">
        <v>39</v>
      </c>
      <c r="H229" s="9" t="s">
        <v>17</v>
      </c>
      <c r="I229" s="9" t="s">
        <v>199</v>
      </c>
      <c r="J229" s="10"/>
      <c r="K229" s="7" t="s">
        <v>595</v>
      </c>
    </row>
    <row r="230" spans="1:11" ht="58.05" hidden="1" customHeight="1">
      <c r="A230" s="9" t="s">
        <v>1318</v>
      </c>
      <c r="B230" s="9" t="s">
        <v>546</v>
      </c>
      <c r="C230" s="9" t="s">
        <v>381</v>
      </c>
      <c r="D230" s="9" t="s">
        <v>568</v>
      </c>
      <c r="E230" s="7" t="s">
        <v>1319</v>
      </c>
      <c r="F230" s="7" t="s">
        <v>1320</v>
      </c>
      <c r="G230" s="9" t="s">
        <v>39</v>
      </c>
      <c r="H230" s="9" t="s">
        <v>17</v>
      </c>
      <c r="I230" s="9" t="s">
        <v>199</v>
      </c>
      <c r="J230" s="10" t="s">
        <v>1315</v>
      </c>
      <c r="K230" s="7" t="s">
        <v>595</v>
      </c>
    </row>
    <row r="231" spans="1:11" ht="58.05" hidden="1" customHeight="1">
      <c r="A231" s="9" t="s">
        <v>1321</v>
      </c>
      <c r="B231" s="9" t="s">
        <v>546</v>
      </c>
      <c r="C231" s="9" t="s">
        <v>381</v>
      </c>
      <c r="D231" s="9" t="s">
        <v>572</v>
      </c>
      <c r="E231" s="7" t="s">
        <v>1322</v>
      </c>
      <c r="F231" s="7" t="s">
        <v>1323</v>
      </c>
      <c r="G231" s="9" t="s">
        <v>39</v>
      </c>
      <c r="H231" s="9" t="s">
        <v>17</v>
      </c>
      <c r="I231" s="9" t="s">
        <v>199</v>
      </c>
      <c r="J231" s="10" t="s">
        <v>1318</v>
      </c>
      <c r="K231" s="7" t="s">
        <v>575</v>
      </c>
    </row>
    <row r="232" spans="1:11" ht="58.05" hidden="1" customHeight="1">
      <c r="A232" s="9" t="s">
        <v>1324</v>
      </c>
      <c r="B232" s="9" t="s">
        <v>546</v>
      </c>
      <c r="C232" s="9" t="s">
        <v>381</v>
      </c>
      <c r="D232" s="9" t="s">
        <v>577</v>
      </c>
      <c r="E232" s="7" t="s">
        <v>1325</v>
      </c>
      <c r="F232" s="7" t="s">
        <v>1326</v>
      </c>
      <c r="G232" s="9" t="s">
        <v>39</v>
      </c>
      <c r="H232" s="9" t="s">
        <v>17</v>
      </c>
      <c r="I232" s="9" t="s">
        <v>199</v>
      </c>
      <c r="J232" s="10" t="s">
        <v>1327</v>
      </c>
      <c r="K232" s="7" t="s">
        <v>595</v>
      </c>
    </row>
    <row r="233" spans="1:11" ht="58.05" hidden="1" customHeight="1">
      <c r="A233" s="9" t="s">
        <v>1328</v>
      </c>
      <c r="B233" s="9" t="s">
        <v>546</v>
      </c>
      <c r="C233" s="9" t="s">
        <v>386</v>
      </c>
      <c r="D233" s="9" t="s">
        <v>564</v>
      </c>
      <c r="E233" s="7" t="s">
        <v>1329</v>
      </c>
      <c r="F233" s="7" t="s">
        <v>1330</v>
      </c>
      <c r="G233" s="9" t="s">
        <v>39</v>
      </c>
      <c r="H233" s="9" t="s">
        <v>17</v>
      </c>
      <c r="I233" s="9" t="s">
        <v>88</v>
      </c>
      <c r="J233" s="10"/>
      <c r="K233" s="7" t="s">
        <v>1291</v>
      </c>
    </row>
    <row r="234" spans="1:11" ht="58.05" hidden="1" customHeight="1">
      <c r="A234" s="9" t="s">
        <v>1331</v>
      </c>
      <c r="B234" s="9" t="s">
        <v>546</v>
      </c>
      <c r="C234" s="9" t="s">
        <v>386</v>
      </c>
      <c r="D234" s="9" t="s">
        <v>568</v>
      </c>
      <c r="E234" s="7" t="s">
        <v>1332</v>
      </c>
      <c r="F234" s="7" t="s">
        <v>1333</v>
      </c>
      <c r="G234" s="9" t="s">
        <v>39</v>
      </c>
      <c r="H234" s="9" t="s">
        <v>17</v>
      </c>
      <c r="I234" s="9" t="s">
        <v>199</v>
      </c>
      <c r="J234" s="10" t="s">
        <v>1328</v>
      </c>
      <c r="K234" s="7" t="s">
        <v>595</v>
      </c>
    </row>
    <row r="235" spans="1:11" ht="58.05" hidden="1" customHeight="1">
      <c r="A235" s="9" t="s">
        <v>1334</v>
      </c>
      <c r="B235" s="9" t="s">
        <v>546</v>
      </c>
      <c r="C235" s="9" t="s">
        <v>386</v>
      </c>
      <c r="D235" s="9" t="s">
        <v>572</v>
      </c>
      <c r="E235" s="7" t="s">
        <v>1335</v>
      </c>
      <c r="F235" s="7" t="s">
        <v>1336</v>
      </c>
      <c r="G235" s="9" t="s">
        <v>39</v>
      </c>
      <c r="H235" s="9" t="s">
        <v>17</v>
      </c>
      <c r="I235" s="9" t="s">
        <v>199</v>
      </c>
      <c r="J235" s="10" t="s">
        <v>1331</v>
      </c>
      <c r="K235" s="7" t="s">
        <v>575</v>
      </c>
    </row>
    <row r="236" spans="1:11" ht="58.05" hidden="1" customHeight="1">
      <c r="A236" s="9" t="s">
        <v>1337</v>
      </c>
      <c r="B236" s="9" t="s">
        <v>546</v>
      </c>
      <c r="C236" s="9" t="s">
        <v>386</v>
      </c>
      <c r="D236" s="9" t="s">
        <v>577</v>
      </c>
      <c r="E236" s="7" t="s">
        <v>1338</v>
      </c>
      <c r="F236" s="7" t="s">
        <v>1339</v>
      </c>
      <c r="G236" s="9" t="s">
        <v>39</v>
      </c>
      <c r="H236" s="9" t="s">
        <v>17</v>
      </c>
      <c r="I236" s="9" t="s">
        <v>199</v>
      </c>
      <c r="J236" s="10" t="s">
        <v>1340</v>
      </c>
      <c r="K236" s="7" t="s">
        <v>595</v>
      </c>
    </row>
    <row r="237" spans="1:11" ht="58.05" hidden="1" customHeight="1">
      <c r="A237" s="9" t="s">
        <v>1341</v>
      </c>
      <c r="B237" s="9" t="s">
        <v>546</v>
      </c>
      <c r="C237" s="9" t="s">
        <v>391</v>
      </c>
      <c r="D237" s="9" t="s">
        <v>564</v>
      </c>
      <c r="E237" s="7" t="s">
        <v>1342</v>
      </c>
      <c r="F237" s="7" t="s">
        <v>1343</v>
      </c>
      <c r="G237" s="9" t="s">
        <v>39</v>
      </c>
      <c r="H237" s="9" t="s">
        <v>17</v>
      </c>
      <c r="I237" s="9" t="s">
        <v>88</v>
      </c>
      <c r="J237" s="10"/>
      <c r="K237" s="7" t="s">
        <v>1291</v>
      </c>
    </row>
    <row r="238" spans="1:11" ht="58.05" hidden="1" customHeight="1">
      <c r="A238" s="9" t="s">
        <v>1344</v>
      </c>
      <c r="B238" s="9" t="s">
        <v>546</v>
      </c>
      <c r="C238" s="9" t="s">
        <v>391</v>
      </c>
      <c r="D238" s="9" t="s">
        <v>568</v>
      </c>
      <c r="E238" s="7" t="s">
        <v>1345</v>
      </c>
      <c r="F238" s="7" t="s">
        <v>1346</v>
      </c>
      <c r="G238" s="9" t="s">
        <v>39</v>
      </c>
      <c r="H238" s="9" t="s">
        <v>17</v>
      </c>
      <c r="I238" s="9" t="s">
        <v>199</v>
      </c>
      <c r="J238" s="10" t="s">
        <v>1341</v>
      </c>
      <c r="K238" s="7" t="s">
        <v>595</v>
      </c>
    </row>
    <row r="239" spans="1:11" ht="58.05" hidden="1" customHeight="1">
      <c r="A239" s="9" t="s">
        <v>1347</v>
      </c>
      <c r="B239" s="9" t="s">
        <v>546</v>
      </c>
      <c r="C239" s="9" t="s">
        <v>391</v>
      </c>
      <c r="D239" s="9" t="s">
        <v>572</v>
      </c>
      <c r="E239" s="7" t="s">
        <v>1348</v>
      </c>
      <c r="F239" s="7" t="s">
        <v>1349</v>
      </c>
      <c r="G239" s="9" t="s">
        <v>39</v>
      </c>
      <c r="H239" s="9" t="s">
        <v>17</v>
      </c>
      <c r="I239" s="9" t="s">
        <v>199</v>
      </c>
      <c r="J239" s="10" t="s">
        <v>1344</v>
      </c>
      <c r="K239" s="7" t="s">
        <v>575</v>
      </c>
    </row>
    <row r="240" spans="1:11" ht="58.05" hidden="1" customHeight="1">
      <c r="A240" s="9" t="s">
        <v>1350</v>
      </c>
      <c r="B240" s="9" t="s">
        <v>546</v>
      </c>
      <c r="C240" s="9" t="s">
        <v>391</v>
      </c>
      <c r="D240" s="9" t="s">
        <v>577</v>
      </c>
      <c r="E240" s="7" t="s">
        <v>1351</v>
      </c>
      <c r="F240" s="7" t="s">
        <v>1352</v>
      </c>
      <c r="G240" s="9" t="s">
        <v>39</v>
      </c>
      <c r="H240" s="9" t="s">
        <v>17</v>
      </c>
      <c r="I240" s="9" t="s">
        <v>199</v>
      </c>
      <c r="J240" s="10" t="s">
        <v>1353</v>
      </c>
      <c r="K240" s="7" t="s">
        <v>595</v>
      </c>
    </row>
    <row r="241" spans="1:11" ht="58.05" hidden="1" customHeight="1">
      <c r="A241" s="9" t="s">
        <v>1354</v>
      </c>
      <c r="B241" s="9" t="s">
        <v>551</v>
      </c>
      <c r="C241" s="9" t="s">
        <v>395</v>
      </c>
      <c r="D241" s="9" t="s">
        <v>568</v>
      </c>
      <c r="E241" s="7" t="s">
        <v>1355</v>
      </c>
      <c r="F241" s="7" t="s">
        <v>1356</v>
      </c>
      <c r="G241" s="9" t="s">
        <v>41</v>
      </c>
      <c r="H241" s="9" t="s">
        <v>17</v>
      </c>
      <c r="I241" s="9" t="s">
        <v>199</v>
      </c>
      <c r="J241" s="10"/>
      <c r="K241" s="7" t="s">
        <v>595</v>
      </c>
    </row>
    <row r="242" spans="1:11" ht="58.05" hidden="1" customHeight="1">
      <c r="A242" s="9" t="s">
        <v>1357</v>
      </c>
      <c r="B242" s="9" t="s">
        <v>551</v>
      </c>
      <c r="C242" s="9" t="s">
        <v>395</v>
      </c>
      <c r="D242" s="9" t="s">
        <v>572</v>
      </c>
      <c r="E242" s="7" t="s">
        <v>1358</v>
      </c>
      <c r="F242" s="7" t="s">
        <v>1359</v>
      </c>
      <c r="G242" s="9" t="s">
        <v>41</v>
      </c>
      <c r="H242" s="9" t="s">
        <v>17</v>
      </c>
      <c r="I242" s="9" t="s">
        <v>199</v>
      </c>
      <c r="J242" s="10" t="s">
        <v>1354</v>
      </c>
      <c r="K242" s="7" t="s">
        <v>575</v>
      </c>
    </row>
    <row r="243" spans="1:11" ht="58.05" hidden="1" customHeight="1">
      <c r="A243" s="9" t="s">
        <v>1360</v>
      </c>
      <c r="B243" s="9" t="s">
        <v>551</v>
      </c>
      <c r="C243" s="9" t="s">
        <v>395</v>
      </c>
      <c r="D243" s="9" t="s">
        <v>577</v>
      </c>
      <c r="E243" s="7" t="s">
        <v>1361</v>
      </c>
      <c r="F243" s="7" t="s">
        <v>1362</v>
      </c>
      <c r="G243" s="9" t="s">
        <v>41</v>
      </c>
      <c r="H243" s="9" t="s">
        <v>17</v>
      </c>
      <c r="I243" s="9" t="s">
        <v>199</v>
      </c>
      <c r="J243" s="10" t="s">
        <v>1363</v>
      </c>
      <c r="K243" s="7" t="s">
        <v>595</v>
      </c>
    </row>
    <row r="244" spans="1:11" ht="58.05" hidden="1" customHeight="1">
      <c r="A244" s="9" t="s">
        <v>1364</v>
      </c>
      <c r="B244" s="9" t="s">
        <v>551</v>
      </c>
      <c r="C244" s="9" t="s">
        <v>400</v>
      </c>
      <c r="D244" s="9" t="s">
        <v>564</v>
      </c>
      <c r="E244" s="7" t="s">
        <v>1365</v>
      </c>
      <c r="F244" s="7" t="s">
        <v>1366</v>
      </c>
      <c r="G244" s="9" t="s">
        <v>41</v>
      </c>
      <c r="H244" s="9" t="s">
        <v>17</v>
      </c>
      <c r="I244" s="9" t="s">
        <v>199</v>
      </c>
      <c r="J244" s="10"/>
      <c r="K244" s="7" t="s">
        <v>595</v>
      </c>
    </row>
    <row r="245" spans="1:11" ht="58.05" hidden="1" customHeight="1">
      <c r="A245" s="9" t="s">
        <v>1367</v>
      </c>
      <c r="B245" s="9" t="s">
        <v>551</v>
      </c>
      <c r="C245" s="9" t="s">
        <v>400</v>
      </c>
      <c r="D245" s="9" t="s">
        <v>568</v>
      </c>
      <c r="E245" s="7" t="s">
        <v>1368</v>
      </c>
      <c r="F245" s="7" t="s">
        <v>1369</v>
      </c>
      <c r="G245" s="9" t="s">
        <v>41</v>
      </c>
      <c r="H245" s="9" t="s">
        <v>17</v>
      </c>
      <c r="I245" s="9" t="s">
        <v>199</v>
      </c>
      <c r="J245" s="10" t="s">
        <v>1364</v>
      </c>
      <c r="K245" s="7" t="s">
        <v>595</v>
      </c>
    </row>
    <row r="246" spans="1:11" ht="58.05" hidden="1" customHeight="1">
      <c r="A246" s="9" t="s">
        <v>1370</v>
      </c>
      <c r="B246" s="9" t="s">
        <v>551</v>
      </c>
      <c r="C246" s="9" t="s">
        <v>400</v>
      </c>
      <c r="D246" s="9" t="s">
        <v>572</v>
      </c>
      <c r="E246" s="7" t="s">
        <v>1371</v>
      </c>
      <c r="F246" s="7" t="s">
        <v>1372</v>
      </c>
      <c r="G246" s="9" t="s">
        <v>41</v>
      </c>
      <c r="H246" s="9" t="s">
        <v>17</v>
      </c>
      <c r="I246" s="9" t="s">
        <v>199</v>
      </c>
      <c r="J246" s="10" t="s">
        <v>1367</v>
      </c>
      <c r="K246" s="7" t="s">
        <v>575</v>
      </c>
    </row>
    <row r="247" spans="1:11" ht="58.05" hidden="1" customHeight="1">
      <c r="A247" s="9" t="s">
        <v>1373</v>
      </c>
      <c r="B247" s="9" t="s">
        <v>551</v>
      </c>
      <c r="C247" s="9" t="s">
        <v>400</v>
      </c>
      <c r="D247" s="9" t="s">
        <v>577</v>
      </c>
      <c r="E247" s="7" t="s">
        <v>1374</v>
      </c>
      <c r="F247" s="7" t="s">
        <v>1375</v>
      </c>
      <c r="G247" s="9" t="s">
        <v>41</v>
      </c>
      <c r="H247" s="9" t="s">
        <v>17</v>
      </c>
      <c r="I247" s="9" t="s">
        <v>199</v>
      </c>
      <c r="J247" s="10" t="s">
        <v>1376</v>
      </c>
      <c r="K247" s="7" t="s">
        <v>595</v>
      </c>
    </row>
    <row r="248" spans="1:11" ht="58.05" hidden="1" customHeight="1">
      <c r="A248" s="9" t="s">
        <v>1377</v>
      </c>
      <c r="B248" s="9" t="s">
        <v>551</v>
      </c>
      <c r="C248" s="9" t="s">
        <v>406</v>
      </c>
      <c r="D248" s="9" t="s">
        <v>564</v>
      </c>
      <c r="E248" s="7" t="s">
        <v>1378</v>
      </c>
      <c r="F248" s="7" t="s">
        <v>1379</v>
      </c>
      <c r="G248" s="9" t="s">
        <v>41</v>
      </c>
      <c r="H248" s="9" t="s">
        <v>17</v>
      </c>
      <c r="I248" s="9" t="s">
        <v>199</v>
      </c>
      <c r="J248" s="10"/>
      <c r="K248" s="7" t="s">
        <v>595</v>
      </c>
    </row>
    <row r="249" spans="1:11" ht="58.05" hidden="1" customHeight="1">
      <c r="A249" s="9" t="s">
        <v>1380</v>
      </c>
      <c r="B249" s="9" t="s">
        <v>551</v>
      </c>
      <c r="C249" s="9" t="s">
        <v>406</v>
      </c>
      <c r="D249" s="9" t="s">
        <v>568</v>
      </c>
      <c r="E249" s="7" t="s">
        <v>1381</v>
      </c>
      <c r="F249" s="7" t="s">
        <v>1382</v>
      </c>
      <c r="G249" s="9" t="s">
        <v>41</v>
      </c>
      <c r="H249" s="9" t="s">
        <v>17</v>
      </c>
      <c r="I249" s="9" t="s">
        <v>199</v>
      </c>
      <c r="J249" s="10" t="s">
        <v>1377</v>
      </c>
      <c r="K249" s="7" t="s">
        <v>595</v>
      </c>
    </row>
    <row r="250" spans="1:11" ht="58.05" hidden="1" customHeight="1">
      <c r="A250" s="9" t="s">
        <v>1383</v>
      </c>
      <c r="B250" s="9" t="s">
        <v>551</v>
      </c>
      <c r="C250" s="9" t="s">
        <v>406</v>
      </c>
      <c r="D250" s="9" t="s">
        <v>572</v>
      </c>
      <c r="E250" s="7" t="s">
        <v>1384</v>
      </c>
      <c r="F250" s="7" t="s">
        <v>1385</v>
      </c>
      <c r="G250" s="9" t="s">
        <v>41</v>
      </c>
      <c r="H250" s="9" t="s">
        <v>17</v>
      </c>
      <c r="I250" s="9" t="s">
        <v>199</v>
      </c>
      <c r="J250" s="10" t="s">
        <v>1380</v>
      </c>
      <c r="K250" s="7" t="s">
        <v>575</v>
      </c>
    </row>
    <row r="251" spans="1:11" ht="58.05" hidden="1" customHeight="1">
      <c r="A251" s="9" t="s">
        <v>1386</v>
      </c>
      <c r="B251" s="9" t="s">
        <v>551</v>
      </c>
      <c r="C251" s="9" t="s">
        <v>406</v>
      </c>
      <c r="D251" s="9" t="s">
        <v>577</v>
      </c>
      <c r="E251" s="7" t="s">
        <v>1387</v>
      </c>
      <c r="F251" s="7" t="s">
        <v>1388</v>
      </c>
      <c r="G251" s="9" t="s">
        <v>41</v>
      </c>
      <c r="H251" s="9" t="s">
        <v>17</v>
      </c>
      <c r="I251" s="9" t="s">
        <v>199</v>
      </c>
      <c r="J251" s="10" t="s">
        <v>1389</v>
      </c>
      <c r="K251" s="7" t="s">
        <v>595</v>
      </c>
    </row>
    <row r="252" spans="1:11" ht="58.05" hidden="1" customHeight="1">
      <c r="A252" s="9" t="s">
        <v>1390</v>
      </c>
      <c r="B252" s="9" t="s">
        <v>501</v>
      </c>
      <c r="C252" s="9" t="s">
        <v>411</v>
      </c>
      <c r="D252" s="9" t="s">
        <v>564</v>
      </c>
      <c r="E252" s="7" t="s">
        <v>1391</v>
      </c>
      <c r="F252" s="7" t="s">
        <v>1392</v>
      </c>
      <c r="G252" s="9" t="s">
        <v>26</v>
      </c>
      <c r="H252" s="9" t="s">
        <v>15</v>
      </c>
      <c r="I252" s="9" t="s">
        <v>88</v>
      </c>
      <c r="J252" s="10"/>
      <c r="K252" s="7" t="s">
        <v>416</v>
      </c>
    </row>
    <row r="253" spans="1:11" ht="58.05" hidden="1" customHeight="1">
      <c r="A253" s="9" t="s">
        <v>1393</v>
      </c>
      <c r="B253" s="9" t="s">
        <v>501</v>
      </c>
      <c r="C253" s="9" t="s">
        <v>411</v>
      </c>
      <c r="D253" s="9" t="s">
        <v>568</v>
      </c>
      <c r="E253" s="7" t="s">
        <v>1394</v>
      </c>
      <c r="F253" s="7" t="s">
        <v>1395</v>
      </c>
      <c r="G253" s="9" t="s">
        <v>26</v>
      </c>
      <c r="H253" s="9" t="s">
        <v>15</v>
      </c>
      <c r="I253" s="9" t="s">
        <v>88</v>
      </c>
      <c r="J253" s="10" t="s">
        <v>1390</v>
      </c>
      <c r="K253" s="7" t="s">
        <v>416</v>
      </c>
    </row>
    <row r="254" spans="1:11" ht="58.05" hidden="1" customHeight="1">
      <c r="A254" s="9" t="s">
        <v>1396</v>
      </c>
      <c r="B254" s="9" t="s">
        <v>501</v>
      </c>
      <c r="C254" s="9" t="s">
        <v>411</v>
      </c>
      <c r="D254" s="9" t="s">
        <v>572</v>
      </c>
      <c r="E254" s="7" t="s">
        <v>1397</v>
      </c>
      <c r="F254" s="7" t="s">
        <v>1398</v>
      </c>
      <c r="G254" s="9" t="s">
        <v>26</v>
      </c>
      <c r="H254" s="9" t="s">
        <v>15</v>
      </c>
      <c r="I254" s="9" t="s">
        <v>199</v>
      </c>
      <c r="J254" s="10" t="s">
        <v>1393</v>
      </c>
      <c r="K254" s="7" t="s">
        <v>575</v>
      </c>
    </row>
    <row r="255" spans="1:11" ht="58.05" hidden="1" customHeight="1">
      <c r="A255" s="9" t="s">
        <v>1399</v>
      </c>
      <c r="B255" s="9" t="s">
        <v>501</v>
      </c>
      <c r="C255" s="9" t="s">
        <v>411</v>
      </c>
      <c r="D255" s="9" t="s">
        <v>577</v>
      </c>
      <c r="E255" s="7" t="s">
        <v>1400</v>
      </c>
      <c r="F255" s="7" t="s">
        <v>1401</v>
      </c>
      <c r="G255" s="9" t="s">
        <v>26</v>
      </c>
      <c r="H255" s="9" t="s">
        <v>15</v>
      </c>
      <c r="I255" s="9" t="s">
        <v>199</v>
      </c>
      <c r="J255" s="10" t="s">
        <v>1402</v>
      </c>
      <c r="K255" s="7" t="s">
        <v>595</v>
      </c>
    </row>
    <row r="256" spans="1:11" ht="58.05" hidden="1" customHeight="1">
      <c r="A256" s="9" t="s">
        <v>1403</v>
      </c>
      <c r="B256" s="9" t="s">
        <v>501</v>
      </c>
      <c r="C256" s="9" t="s">
        <v>417</v>
      </c>
      <c r="D256" s="9" t="s">
        <v>568</v>
      </c>
      <c r="E256" s="7" t="s">
        <v>1404</v>
      </c>
      <c r="F256" s="7" t="s">
        <v>1405</v>
      </c>
      <c r="G256" s="9" t="s">
        <v>26</v>
      </c>
      <c r="H256" s="9" t="s">
        <v>15</v>
      </c>
      <c r="I256" s="9" t="s">
        <v>88</v>
      </c>
      <c r="J256" s="10"/>
      <c r="K256" s="7" t="s">
        <v>421</v>
      </c>
    </row>
    <row r="257" spans="1:11" ht="58.05" hidden="1" customHeight="1">
      <c r="A257" s="9" t="s">
        <v>1406</v>
      </c>
      <c r="B257" s="9" t="s">
        <v>501</v>
      </c>
      <c r="C257" s="9" t="s">
        <v>417</v>
      </c>
      <c r="D257" s="9" t="s">
        <v>572</v>
      </c>
      <c r="E257" s="7" t="s">
        <v>1407</v>
      </c>
      <c r="F257" s="7" t="s">
        <v>1408</v>
      </c>
      <c r="G257" s="9" t="s">
        <v>26</v>
      </c>
      <c r="H257" s="9" t="s">
        <v>15</v>
      </c>
      <c r="I257" s="9" t="s">
        <v>199</v>
      </c>
      <c r="J257" s="10" t="s">
        <v>1403</v>
      </c>
      <c r="K257" s="7" t="s">
        <v>575</v>
      </c>
    </row>
    <row r="258" spans="1:11" ht="58.05" hidden="1" customHeight="1">
      <c r="A258" s="9" t="s">
        <v>1409</v>
      </c>
      <c r="B258" s="9" t="s">
        <v>501</v>
      </c>
      <c r="C258" s="9" t="s">
        <v>417</v>
      </c>
      <c r="D258" s="9" t="s">
        <v>577</v>
      </c>
      <c r="E258" s="7" t="s">
        <v>1410</v>
      </c>
      <c r="F258" s="7" t="s">
        <v>1411</v>
      </c>
      <c r="G258" s="9" t="s">
        <v>26</v>
      </c>
      <c r="H258" s="9" t="s">
        <v>15</v>
      </c>
      <c r="I258" s="9" t="s">
        <v>52</v>
      </c>
      <c r="J258" s="10" t="s">
        <v>1412</v>
      </c>
      <c r="K258" s="7" t="s">
        <v>581</v>
      </c>
    </row>
    <row r="259" spans="1:11" ht="58.05" hidden="1" customHeight="1">
      <c r="A259" s="9" t="s">
        <v>1413</v>
      </c>
      <c r="B259" s="9" t="s">
        <v>506</v>
      </c>
      <c r="C259" s="9" t="s">
        <v>422</v>
      </c>
      <c r="D259" s="9" t="s">
        <v>564</v>
      </c>
      <c r="E259" s="7" t="s">
        <v>1414</v>
      </c>
      <c r="F259" s="7" t="s">
        <v>1415</v>
      </c>
      <c r="G259" s="9" t="s">
        <v>26</v>
      </c>
      <c r="H259" s="9" t="s">
        <v>16</v>
      </c>
      <c r="I259" s="9" t="s">
        <v>88</v>
      </c>
      <c r="J259" s="10"/>
      <c r="K259" s="7" t="s">
        <v>426</v>
      </c>
    </row>
    <row r="260" spans="1:11" ht="58.05" hidden="1" customHeight="1">
      <c r="A260" s="9" t="s">
        <v>1416</v>
      </c>
      <c r="B260" s="9" t="s">
        <v>506</v>
      </c>
      <c r="C260" s="9" t="s">
        <v>422</v>
      </c>
      <c r="D260" s="9" t="s">
        <v>568</v>
      </c>
      <c r="E260" s="7" t="s">
        <v>1417</v>
      </c>
      <c r="F260" s="7" t="s">
        <v>1418</v>
      </c>
      <c r="G260" s="9" t="s">
        <v>26</v>
      </c>
      <c r="H260" s="9" t="s">
        <v>16</v>
      </c>
      <c r="I260" s="9" t="s">
        <v>88</v>
      </c>
      <c r="J260" s="10" t="s">
        <v>1413</v>
      </c>
      <c r="K260" s="7" t="s">
        <v>426</v>
      </c>
    </row>
    <row r="261" spans="1:11" ht="58.05" hidden="1" customHeight="1">
      <c r="A261" s="9" t="s">
        <v>1419</v>
      </c>
      <c r="B261" s="9" t="s">
        <v>506</v>
      </c>
      <c r="C261" s="9" t="s">
        <v>422</v>
      </c>
      <c r="D261" s="9" t="s">
        <v>572</v>
      </c>
      <c r="E261" s="7" t="s">
        <v>1420</v>
      </c>
      <c r="F261" s="7" t="s">
        <v>1421</v>
      </c>
      <c r="G261" s="9" t="s">
        <v>26</v>
      </c>
      <c r="H261" s="9" t="s">
        <v>16</v>
      </c>
      <c r="I261" s="9" t="s">
        <v>199</v>
      </c>
      <c r="J261" s="10" t="s">
        <v>1416</v>
      </c>
      <c r="K261" s="7" t="s">
        <v>575</v>
      </c>
    </row>
    <row r="262" spans="1:11" ht="58.05" hidden="1" customHeight="1">
      <c r="A262" s="9" t="s">
        <v>1422</v>
      </c>
      <c r="B262" s="9" t="s">
        <v>506</v>
      </c>
      <c r="C262" s="9" t="s">
        <v>422</v>
      </c>
      <c r="D262" s="9" t="s">
        <v>577</v>
      </c>
      <c r="E262" s="7" t="s">
        <v>1423</v>
      </c>
      <c r="F262" s="7" t="s">
        <v>1424</v>
      </c>
      <c r="G262" s="9" t="s">
        <v>26</v>
      </c>
      <c r="H262" s="9" t="s">
        <v>16</v>
      </c>
      <c r="I262" s="9" t="s">
        <v>199</v>
      </c>
      <c r="J262" s="10" t="s">
        <v>1425</v>
      </c>
      <c r="K262" s="7" t="s">
        <v>595</v>
      </c>
    </row>
    <row r="263" spans="1:11" ht="58.05" hidden="1" customHeight="1">
      <c r="A263" s="9" t="s">
        <v>1426</v>
      </c>
      <c r="B263" s="9" t="s">
        <v>506</v>
      </c>
      <c r="C263" s="9" t="s">
        <v>427</v>
      </c>
      <c r="D263" s="9" t="s">
        <v>564</v>
      </c>
      <c r="E263" s="7" t="s">
        <v>1427</v>
      </c>
      <c r="F263" s="7" t="s">
        <v>1428</v>
      </c>
      <c r="G263" s="9" t="s">
        <v>26</v>
      </c>
      <c r="H263" s="9" t="s">
        <v>16</v>
      </c>
      <c r="I263" s="9" t="s">
        <v>88</v>
      </c>
      <c r="J263" s="10"/>
      <c r="K263" s="7" t="s">
        <v>431</v>
      </c>
    </row>
    <row r="264" spans="1:11" ht="58.05" hidden="1" customHeight="1">
      <c r="A264" s="9" t="s">
        <v>1429</v>
      </c>
      <c r="B264" s="9" t="s">
        <v>506</v>
      </c>
      <c r="C264" s="9" t="s">
        <v>427</v>
      </c>
      <c r="D264" s="9" t="s">
        <v>568</v>
      </c>
      <c r="E264" s="7" t="s">
        <v>1430</v>
      </c>
      <c r="F264" s="7" t="s">
        <v>1431</v>
      </c>
      <c r="G264" s="9" t="s">
        <v>26</v>
      </c>
      <c r="H264" s="9" t="s">
        <v>16</v>
      </c>
      <c r="I264" s="9" t="s">
        <v>88</v>
      </c>
      <c r="J264" s="10" t="s">
        <v>1426</v>
      </c>
      <c r="K264" s="7" t="s">
        <v>431</v>
      </c>
    </row>
    <row r="265" spans="1:11" ht="58.05" hidden="1" customHeight="1">
      <c r="A265" s="9" t="s">
        <v>1432</v>
      </c>
      <c r="B265" s="9" t="s">
        <v>506</v>
      </c>
      <c r="C265" s="9" t="s">
        <v>427</v>
      </c>
      <c r="D265" s="9" t="s">
        <v>572</v>
      </c>
      <c r="E265" s="7" t="s">
        <v>1433</v>
      </c>
      <c r="F265" s="7" t="s">
        <v>1434</v>
      </c>
      <c r="G265" s="9" t="s">
        <v>26</v>
      </c>
      <c r="H265" s="9" t="s">
        <v>16</v>
      </c>
      <c r="I265" s="9" t="s">
        <v>199</v>
      </c>
      <c r="J265" s="10" t="s">
        <v>1429</v>
      </c>
      <c r="K265" s="7" t="s">
        <v>575</v>
      </c>
    </row>
    <row r="266" spans="1:11" ht="58.05" hidden="1" customHeight="1">
      <c r="A266" s="9" t="s">
        <v>1435</v>
      </c>
      <c r="B266" s="9" t="s">
        <v>506</v>
      </c>
      <c r="C266" s="9" t="s">
        <v>427</v>
      </c>
      <c r="D266" s="9" t="s">
        <v>577</v>
      </c>
      <c r="E266" s="7" t="s">
        <v>1436</v>
      </c>
      <c r="F266" s="7" t="s">
        <v>1437</v>
      </c>
      <c r="G266" s="9" t="s">
        <v>26</v>
      </c>
      <c r="H266" s="9" t="s">
        <v>16</v>
      </c>
      <c r="I266" s="9" t="s">
        <v>199</v>
      </c>
      <c r="J266" s="10" t="s">
        <v>1438</v>
      </c>
      <c r="K266" s="7" t="s">
        <v>595</v>
      </c>
    </row>
    <row r="267" spans="1:11" ht="58.05" hidden="1" customHeight="1">
      <c r="A267" s="9" t="s">
        <v>1439</v>
      </c>
      <c r="B267" s="9" t="s">
        <v>506</v>
      </c>
      <c r="C267" s="9" t="s">
        <v>432</v>
      </c>
      <c r="D267" s="9" t="s">
        <v>564</v>
      </c>
      <c r="E267" s="7" t="s">
        <v>1440</v>
      </c>
      <c r="F267" s="7" t="s">
        <v>1441</v>
      </c>
      <c r="G267" s="9" t="s">
        <v>26</v>
      </c>
      <c r="H267" s="9" t="s">
        <v>16</v>
      </c>
      <c r="I267" s="9" t="s">
        <v>88</v>
      </c>
      <c r="J267" s="10"/>
      <c r="K267" s="7" t="s">
        <v>436</v>
      </c>
    </row>
    <row r="268" spans="1:11" ht="58.05" hidden="1" customHeight="1">
      <c r="A268" s="9" t="s">
        <v>1442</v>
      </c>
      <c r="B268" s="9" t="s">
        <v>506</v>
      </c>
      <c r="C268" s="9" t="s">
        <v>432</v>
      </c>
      <c r="D268" s="9" t="s">
        <v>568</v>
      </c>
      <c r="E268" s="7" t="s">
        <v>1443</v>
      </c>
      <c r="F268" s="7" t="s">
        <v>1444</v>
      </c>
      <c r="G268" s="9" t="s">
        <v>26</v>
      </c>
      <c r="H268" s="9" t="s">
        <v>16</v>
      </c>
      <c r="I268" s="9" t="s">
        <v>88</v>
      </c>
      <c r="J268" s="10" t="s">
        <v>1439</v>
      </c>
      <c r="K268" s="7" t="s">
        <v>436</v>
      </c>
    </row>
    <row r="269" spans="1:11" ht="58.05" hidden="1" customHeight="1">
      <c r="A269" s="9" t="s">
        <v>1445</v>
      </c>
      <c r="B269" s="9" t="s">
        <v>506</v>
      </c>
      <c r="C269" s="9" t="s">
        <v>432</v>
      </c>
      <c r="D269" s="9" t="s">
        <v>572</v>
      </c>
      <c r="E269" s="7" t="s">
        <v>1446</v>
      </c>
      <c r="F269" s="7" t="s">
        <v>1447</v>
      </c>
      <c r="G269" s="9" t="s">
        <v>26</v>
      </c>
      <c r="H269" s="9" t="s">
        <v>16</v>
      </c>
      <c r="I269" s="9" t="s">
        <v>199</v>
      </c>
      <c r="J269" s="10" t="s">
        <v>1442</v>
      </c>
      <c r="K269" s="7" t="s">
        <v>575</v>
      </c>
    </row>
    <row r="270" spans="1:11" ht="58.05" hidden="1" customHeight="1">
      <c r="A270" s="9" t="s">
        <v>1448</v>
      </c>
      <c r="B270" s="9" t="s">
        <v>506</v>
      </c>
      <c r="C270" s="9" t="s">
        <v>432</v>
      </c>
      <c r="D270" s="9" t="s">
        <v>577</v>
      </c>
      <c r="E270" s="7" t="s">
        <v>1449</v>
      </c>
      <c r="F270" s="7" t="s">
        <v>1450</v>
      </c>
      <c r="G270" s="9" t="s">
        <v>26</v>
      </c>
      <c r="H270" s="9" t="s">
        <v>16</v>
      </c>
      <c r="I270" s="9" t="s">
        <v>199</v>
      </c>
      <c r="J270" s="10" t="s">
        <v>1451</v>
      </c>
      <c r="K270" s="7" t="s">
        <v>595</v>
      </c>
    </row>
    <row r="271" spans="1:11" ht="58.05" hidden="1" customHeight="1">
      <c r="A271" s="9" t="s">
        <v>1452</v>
      </c>
      <c r="B271" s="9" t="s">
        <v>506</v>
      </c>
      <c r="C271" s="9" t="s">
        <v>437</v>
      </c>
      <c r="D271" s="9" t="s">
        <v>564</v>
      </c>
      <c r="E271" s="7" t="s">
        <v>1453</v>
      </c>
      <c r="F271" s="7" t="s">
        <v>1454</v>
      </c>
      <c r="G271" s="9" t="s">
        <v>26</v>
      </c>
      <c r="H271" s="9" t="s">
        <v>16</v>
      </c>
      <c r="I271" s="9" t="s">
        <v>88</v>
      </c>
      <c r="J271" s="10"/>
      <c r="K271" s="7" t="s">
        <v>441</v>
      </c>
    </row>
    <row r="272" spans="1:11" ht="58.05" hidden="1" customHeight="1">
      <c r="A272" s="9" t="s">
        <v>1455</v>
      </c>
      <c r="B272" s="9" t="s">
        <v>506</v>
      </c>
      <c r="C272" s="9" t="s">
        <v>437</v>
      </c>
      <c r="D272" s="9" t="s">
        <v>568</v>
      </c>
      <c r="E272" s="7" t="s">
        <v>1456</v>
      </c>
      <c r="F272" s="7" t="s">
        <v>1457</v>
      </c>
      <c r="G272" s="9" t="s">
        <v>26</v>
      </c>
      <c r="H272" s="9" t="s">
        <v>16</v>
      </c>
      <c r="I272" s="9" t="s">
        <v>88</v>
      </c>
      <c r="J272" s="10" t="s">
        <v>1452</v>
      </c>
      <c r="K272" s="7" t="s">
        <v>441</v>
      </c>
    </row>
    <row r="273" spans="1:11" ht="58.05" hidden="1" customHeight="1">
      <c r="A273" s="9" t="s">
        <v>1458</v>
      </c>
      <c r="B273" s="9" t="s">
        <v>506</v>
      </c>
      <c r="C273" s="9" t="s">
        <v>437</v>
      </c>
      <c r="D273" s="9" t="s">
        <v>572</v>
      </c>
      <c r="E273" s="7" t="s">
        <v>1459</v>
      </c>
      <c r="F273" s="7" t="s">
        <v>1460</v>
      </c>
      <c r="G273" s="9" t="s">
        <v>26</v>
      </c>
      <c r="H273" s="9" t="s">
        <v>16</v>
      </c>
      <c r="I273" s="9" t="s">
        <v>199</v>
      </c>
      <c r="J273" s="10" t="s">
        <v>1455</v>
      </c>
      <c r="K273" s="7" t="s">
        <v>575</v>
      </c>
    </row>
    <row r="274" spans="1:11" ht="58.05" hidden="1" customHeight="1">
      <c r="A274" s="9" t="s">
        <v>1461</v>
      </c>
      <c r="B274" s="9" t="s">
        <v>506</v>
      </c>
      <c r="C274" s="9" t="s">
        <v>437</v>
      </c>
      <c r="D274" s="9" t="s">
        <v>577</v>
      </c>
      <c r="E274" s="7" t="s">
        <v>1462</v>
      </c>
      <c r="F274" s="7" t="s">
        <v>1463</v>
      </c>
      <c r="G274" s="9" t="s">
        <v>26</v>
      </c>
      <c r="H274" s="9" t="s">
        <v>16</v>
      </c>
      <c r="I274" s="9" t="s">
        <v>199</v>
      </c>
      <c r="J274" s="10" t="s">
        <v>1464</v>
      </c>
      <c r="K274" s="7" t="s">
        <v>595</v>
      </c>
    </row>
    <row r="275" spans="1:11" ht="58.05" hidden="1" customHeight="1">
      <c r="A275" s="9" t="s">
        <v>1465</v>
      </c>
      <c r="B275" s="9" t="s">
        <v>506</v>
      </c>
      <c r="C275" s="9" t="s">
        <v>442</v>
      </c>
      <c r="D275" s="9" t="s">
        <v>568</v>
      </c>
      <c r="E275" s="7" t="s">
        <v>1466</v>
      </c>
      <c r="F275" s="7" t="s">
        <v>1467</v>
      </c>
      <c r="G275" s="9" t="s">
        <v>26</v>
      </c>
      <c r="H275" s="9" t="s">
        <v>16</v>
      </c>
      <c r="I275" s="9" t="s">
        <v>88</v>
      </c>
      <c r="J275" s="10"/>
      <c r="K275" s="7" t="s">
        <v>447</v>
      </c>
    </row>
    <row r="276" spans="1:11" ht="58.05" hidden="1" customHeight="1">
      <c r="A276" s="9" t="s">
        <v>1468</v>
      </c>
      <c r="B276" s="9" t="s">
        <v>506</v>
      </c>
      <c r="C276" s="9" t="s">
        <v>442</v>
      </c>
      <c r="D276" s="9" t="s">
        <v>572</v>
      </c>
      <c r="E276" s="7" t="s">
        <v>1469</v>
      </c>
      <c r="F276" s="7" t="s">
        <v>1470</v>
      </c>
      <c r="G276" s="9" t="s">
        <v>26</v>
      </c>
      <c r="H276" s="9" t="s">
        <v>16</v>
      </c>
      <c r="I276" s="9" t="s">
        <v>199</v>
      </c>
      <c r="J276" s="10" t="s">
        <v>1465</v>
      </c>
      <c r="K276" s="7" t="s">
        <v>575</v>
      </c>
    </row>
    <row r="277" spans="1:11" ht="58.05" hidden="1" customHeight="1">
      <c r="A277" s="9" t="s">
        <v>1471</v>
      </c>
      <c r="B277" s="9" t="s">
        <v>506</v>
      </c>
      <c r="C277" s="9" t="s">
        <v>442</v>
      </c>
      <c r="D277" s="9" t="s">
        <v>577</v>
      </c>
      <c r="E277" s="7" t="s">
        <v>1472</v>
      </c>
      <c r="F277" s="7" t="s">
        <v>1473</v>
      </c>
      <c r="G277" s="9" t="s">
        <v>26</v>
      </c>
      <c r="H277" s="9" t="s">
        <v>16</v>
      </c>
      <c r="I277" s="9" t="s">
        <v>199</v>
      </c>
      <c r="J277" s="10" t="s">
        <v>1474</v>
      </c>
      <c r="K277" s="7" t="s">
        <v>595</v>
      </c>
    </row>
    <row r="278" spans="1:11" ht="58.05" hidden="1" customHeight="1">
      <c r="A278" s="9" t="s">
        <v>1475</v>
      </c>
      <c r="B278" s="9" t="s">
        <v>517</v>
      </c>
      <c r="C278" s="9" t="s">
        <v>448</v>
      </c>
      <c r="D278" s="9" t="s">
        <v>568</v>
      </c>
      <c r="E278" s="7" t="s">
        <v>1476</v>
      </c>
      <c r="F278" s="7" t="s">
        <v>1477</v>
      </c>
      <c r="G278" s="9" t="s">
        <v>28</v>
      </c>
      <c r="H278" s="9" t="s">
        <v>15</v>
      </c>
      <c r="I278" s="9" t="s">
        <v>88</v>
      </c>
      <c r="J278" s="10"/>
      <c r="K278" s="7" t="s">
        <v>452</v>
      </c>
    </row>
    <row r="279" spans="1:11" ht="58.05" hidden="1" customHeight="1">
      <c r="A279" s="9" t="s">
        <v>1478</v>
      </c>
      <c r="B279" s="9" t="s">
        <v>517</v>
      </c>
      <c r="C279" s="9" t="s">
        <v>448</v>
      </c>
      <c r="D279" s="9" t="s">
        <v>572</v>
      </c>
      <c r="E279" s="7" t="s">
        <v>1479</v>
      </c>
      <c r="F279" s="7" t="s">
        <v>1480</v>
      </c>
      <c r="G279" s="9" t="s">
        <v>28</v>
      </c>
      <c r="H279" s="9" t="s">
        <v>15</v>
      </c>
      <c r="I279" s="9" t="s">
        <v>199</v>
      </c>
      <c r="J279" s="10" t="s">
        <v>1475</v>
      </c>
      <c r="K279" s="7" t="s">
        <v>575</v>
      </c>
    </row>
    <row r="280" spans="1:11" ht="58.05" hidden="1" customHeight="1">
      <c r="A280" s="9" t="s">
        <v>1481</v>
      </c>
      <c r="B280" s="9" t="s">
        <v>517</v>
      </c>
      <c r="C280" s="9" t="s">
        <v>448</v>
      </c>
      <c r="D280" s="9" t="s">
        <v>577</v>
      </c>
      <c r="E280" s="7" t="s">
        <v>1482</v>
      </c>
      <c r="F280" s="7" t="s">
        <v>1483</v>
      </c>
      <c r="G280" s="9" t="s">
        <v>28</v>
      </c>
      <c r="H280" s="9" t="s">
        <v>15</v>
      </c>
      <c r="I280" s="9" t="s">
        <v>199</v>
      </c>
      <c r="J280" s="10" t="s">
        <v>1484</v>
      </c>
      <c r="K280" s="7" t="s">
        <v>595</v>
      </c>
    </row>
    <row r="281" spans="1:11" ht="58.05" hidden="1" customHeight="1">
      <c r="A281" s="9" t="s">
        <v>1485</v>
      </c>
      <c r="B281" s="9" t="s">
        <v>517</v>
      </c>
      <c r="C281" s="9" t="s">
        <v>453</v>
      </c>
      <c r="D281" s="9" t="s">
        <v>564</v>
      </c>
      <c r="E281" s="7" t="s">
        <v>1486</v>
      </c>
      <c r="F281" s="7" t="s">
        <v>1487</v>
      </c>
      <c r="G281" s="9" t="s">
        <v>28</v>
      </c>
      <c r="H281" s="9" t="s">
        <v>15</v>
      </c>
      <c r="I281" s="9" t="s">
        <v>88</v>
      </c>
      <c r="J281" s="10"/>
      <c r="K281" s="7" t="s">
        <v>458</v>
      </c>
    </row>
    <row r="282" spans="1:11" ht="58.05" hidden="1" customHeight="1">
      <c r="A282" s="9" t="s">
        <v>1488</v>
      </c>
      <c r="B282" s="9" t="s">
        <v>517</v>
      </c>
      <c r="C282" s="9" t="s">
        <v>453</v>
      </c>
      <c r="D282" s="9" t="s">
        <v>568</v>
      </c>
      <c r="E282" s="7" t="s">
        <v>1489</v>
      </c>
      <c r="F282" s="7" t="s">
        <v>1490</v>
      </c>
      <c r="G282" s="9" t="s">
        <v>28</v>
      </c>
      <c r="H282" s="9" t="s">
        <v>15</v>
      </c>
      <c r="I282" s="9" t="s">
        <v>88</v>
      </c>
      <c r="J282" s="10" t="s">
        <v>1485</v>
      </c>
      <c r="K282" s="7" t="s">
        <v>458</v>
      </c>
    </row>
    <row r="283" spans="1:11" ht="58.05" hidden="1" customHeight="1">
      <c r="A283" s="9" t="s">
        <v>1491</v>
      </c>
      <c r="B283" s="9" t="s">
        <v>517</v>
      </c>
      <c r="C283" s="9" t="s">
        <v>453</v>
      </c>
      <c r="D283" s="9" t="s">
        <v>577</v>
      </c>
      <c r="E283" s="7" t="s">
        <v>1492</v>
      </c>
      <c r="F283" s="7" t="s">
        <v>1493</v>
      </c>
      <c r="G283" s="9" t="s">
        <v>28</v>
      </c>
      <c r="H283" s="9" t="s">
        <v>15</v>
      </c>
      <c r="I283" s="9" t="s">
        <v>199</v>
      </c>
      <c r="J283" s="10" t="s">
        <v>1494</v>
      </c>
      <c r="K283" s="7" t="s">
        <v>595</v>
      </c>
    </row>
    <row r="284" spans="1:11" ht="58.05" hidden="1" customHeight="1">
      <c r="A284" s="9" t="s">
        <v>1495</v>
      </c>
      <c r="B284" s="9" t="s">
        <v>506</v>
      </c>
      <c r="C284" s="9" t="s">
        <v>459</v>
      </c>
      <c r="D284" s="9" t="s">
        <v>568</v>
      </c>
      <c r="E284" s="7" t="s">
        <v>1496</v>
      </c>
      <c r="F284" s="7" t="s">
        <v>1497</v>
      </c>
      <c r="G284" s="9" t="s">
        <v>32</v>
      </c>
      <c r="H284" s="9" t="s">
        <v>16</v>
      </c>
      <c r="I284" s="9" t="s">
        <v>88</v>
      </c>
      <c r="J284" s="10"/>
      <c r="K284" s="7" t="s">
        <v>463</v>
      </c>
    </row>
    <row r="285" spans="1:11" ht="58.05" hidden="1" customHeight="1">
      <c r="A285" s="9" t="s">
        <v>1498</v>
      </c>
      <c r="B285" s="9" t="s">
        <v>506</v>
      </c>
      <c r="C285" s="9" t="s">
        <v>459</v>
      </c>
      <c r="D285" s="9" t="s">
        <v>572</v>
      </c>
      <c r="E285" s="7" t="s">
        <v>1499</v>
      </c>
      <c r="F285" s="7" t="s">
        <v>1500</v>
      </c>
      <c r="G285" s="9" t="s">
        <v>32</v>
      </c>
      <c r="H285" s="9" t="s">
        <v>16</v>
      </c>
      <c r="I285" s="9" t="s">
        <v>199</v>
      </c>
      <c r="J285" s="10" t="s">
        <v>1495</v>
      </c>
      <c r="K285" s="7" t="s">
        <v>575</v>
      </c>
    </row>
    <row r="286" spans="1:11" ht="58.05" hidden="1" customHeight="1">
      <c r="A286" s="9" t="s">
        <v>1501</v>
      </c>
      <c r="B286" s="9" t="s">
        <v>506</v>
      </c>
      <c r="C286" s="9" t="s">
        <v>459</v>
      </c>
      <c r="D286" s="9" t="s">
        <v>577</v>
      </c>
      <c r="E286" s="7" t="s">
        <v>1502</v>
      </c>
      <c r="F286" s="7" t="s">
        <v>1503</v>
      </c>
      <c r="G286" s="9" t="s">
        <v>32</v>
      </c>
      <c r="H286" s="9" t="s">
        <v>16</v>
      </c>
      <c r="I286" s="9" t="s">
        <v>199</v>
      </c>
      <c r="J286" s="10" t="s">
        <v>1504</v>
      </c>
      <c r="K286" s="7" t="s">
        <v>595</v>
      </c>
    </row>
    <row r="287" spans="1:11" ht="58.05" hidden="1" customHeight="1">
      <c r="A287" s="9" t="s">
        <v>1505</v>
      </c>
      <c r="B287" s="9" t="s">
        <v>551</v>
      </c>
      <c r="C287" s="9" t="s">
        <v>464</v>
      </c>
      <c r="D287" s="9" t="s">
        <v>564</v>
      </c>
      <c r="E287" s="7" t="s">
        <v>1506</v>
      </c>
      <c r="F287" s="7" t="s">
        <v>1507</v>
      </c>
      <c r="G287" s="9" t="s">
        <v>41</v>
      </c>
      <c r="H287" s="9" t="s">
        <v>17</v>
      </c>
      <c r="I287" s="9" t="s">
        <v>199</v>
      </c>
      <c r="J287" s="10"/>
      <c r="K287" s="7" t="s">
        <v>595</v>
      </c>
    </row>
    <row r="288" spans="1:11" ht="58.05" hidden="1" customHeight="1">
      <c r="A288" s="9" t="s">
        <v>1508</v>
      </c>
      <c r="B288" s="9" t="s">
        <v>551</v>
      </c>
      <c r="C288" s="9" t="s">
        <v>464</v>
      </c>
      <c r="D288" s="9" t="s">
        <v>568</v>
      </c>
      <c r="E288" s="7" t="s">
        <v>1509</v>
      </c>
      <c r="F288" s="7" t="s">
        <v>1510</v>
      </c>
      <c r="G288" s="9" t="s">
        <v>41</v>
      </c>
      <c r="H288" s="9" t="s">
        <v>17</v>
      </c>
      <c r="I288" s="9" t="s">
        <v>199</v>
      </c>
      <c r="J288" s="10" t="s">
        <v>1505</v>
      </c>
      <c r="K288" s="7" t="s">
        <v>595</v>
      </c>
    </row>
    <row r="289" spans="1:11" ht="58.05" hidden="1" customHeight="1">
      <c r="A289" s="9" t="s">
        <v>1511</v>
      </c>
      <c r="B289" s="9" t="s">
        <v>551</v>
      </c>
      <c r="C289" s="9" t="s">
        <v>464</v>
      </c>
      <c r="D289" s="9" t="s">
        <v>572</v>
      </c>
      <c r="E289" s="7" t="s">
        <v>1512</v>
      </c>
      <c r="F289" s="7" t="s">
        <v>1513</v>
      </c>
      <c r="G289" s="9" t="s">
        <v>41</v>
      </c>
      <c r="H289" s="9" t="s">
        <v>17</v>
      </c>
      <c r="I289" s="9" t="s">
        <v>199</v>
      </c>
      <c r="J289" s="10" t="s">
        <v>1508</v>
      </c>
      <c r="K289" s="7" t="s">
        <v>575</v>
      </c>
    </row>
    <row r="290" spans="1:11" ht="58.05" hidden="1" customHeight="1">
      <c r="A290" s="9" t="s">
        <v>1514</v>
      </c>
      <c r="B290" s="9" t="s">
        <v>551</v>
      </c>
      <c r="C290" s="9" t="s">
        <v>464</v>
      </c>
      <c r="D290" s="9" t="s">
        <v>577</v>
      </c>
      <c r="E290" s="7" t="s">
        <v>1515</v>
      </c>
      <c r="F290" s="7" t="s">
        <v>1516</v>
      </c>
      <c r="G290" s="9" t="s">
        <v>41</v>
      </c>
      <c r="H290" s="9" t="s">
        <v>17</v>
      </c>
      <c r="I290" s="9" t="s">
        <v>199</v>
      </c>
      <c r="J290" s="10" t="s">
        <v>1517</v>
      </c>
      <c r="K290" s="7" t="s">
        <v>595</v>
      </c>
    </row>
    <row r="291" spans="1:11" ht="58.05" hidden="1" customHeight="1">
      <c r="A291" s="9" t="s">
        <v>1518</v>
      </c>
      <c r="B291" s="9" t="s">
        <v>551</v>
      </c>
      <c r="C291" s="9" t="s">
        <v>470</v>
      </c>
      <c r="D291" s="9" t="s">
        <v>564</v>
      </c>
      <c r="E291" s="7" t="s">
        <v>1519</v>
      </c>
      <c r="F291" s="7" t="s">
        <v>1520</v>
      </c>
      <c r="G291" s="9" t="s">
        <v>41</v>
      </c>
      <c r="H291" s="9" t="s">
        <v>17</v>
      </c>
      <c r="I291" s="9" t="s">
        <v>199</v>
      </c>
      <c r="J291" s="10"/>
      <c r="K291" s="7" t="s">
        <v>595</v>
      </c>
    </row>
    <row r="292" spans="1:11" ht="58.05" hidden="1" customHeight="1">
      <c r="A292" s="9" t="s">
        <v>1521</v>
      </c>
      <c r="B292" s="9" t="s">
        <v>551</v>
      </c>
      <c r="C292" s="9" t="s">
        <v>470</v>
      </c>
      <c r="D292" s="9" t="s">
        <v>568</v>
      </c>
      <c r="E292" s="7" t="s">
        <v>1522</v>
      </c>
      <c r="F292" s="7" t="s">
        <v>1523</v>
      </c>
      <c r="G292" s="9" t="s">
        <v>41</v>
      </c>
      <c r="H292" s="9" t="s">
        <v>17</v>
      </c>
      <c r="I292" s="9" t="s">
        <v>199</v>
      </c>
      <c r="J292" s="10" t="s">
        <v>1518</v>
      </c>
      <c r="K292" s="7" t="s">
        <v>595</v>
      </c>
    </row>
    <row r="293" spans="1:11" ht="58.05" hidden="1" customHeight="1">
      <c r="A293" s="9" t="s">
        <v>1524</v>
      </c>
      <c r="B293" s="9" t="s">
        <v>551</v>
      </c>
      <c r="C293" s="9" t="s">
        <v>470</v>
      </c>
      <c r="D293" s="9" t="s">
        <v>572</v>
      </c>
      <c r="E293" s="7" t="s">
        <v>1525</v>
      </c>
      <c r="F293" s="7" t="s">
        <v>1526</v>
      </c>
      <c r="G293" s="9" t="s">
        <v>41</v>
      </c>
      <c r="H293" s="9" t="s">
        <v>17</v>
      </c>
      <c r="I293" s="9" t="s">
        <v>199</v>
      </c>
      <c r="J293" s="10" t="s">
        <v>1521</v>
      </c>
      <c r="K293" s="7" t="s">
        <v>575</v>
      </c>
    </row>
    <row r="294" spans="1:11" ht="58.05" hidden="1" customHeight="1">
      <c r="A294" s="9" t="s">
        <v>1527</v>
      </c>
      <c r="B294" s="9" t="s">
        <v>551</v>
      </c>
      <c r="C294" s="9" t="s">
        <v>470</v>
      </c>
      <c r="D294" s="9" t="s">
        <v>577</v>
      </c>
      <c r="E294" s="7" t="s">
        <v>1528</v>
      </c>
      <c r="F294" s="7" t="s">
        <v>1529</v>
      </c>
      <c r="G294" s="9" t="s">
        <v>41</v>
      </c>
      <c r="H294" s="9" t="s">
        <v>17</v>
      </c>
      <c r="I294" s="9" t="s">
        <v>199</v>
      </c>
      <c r="J294" s="10" t="s">
        <v>1530</v>
      </c>
      <c r="K294" s="7" t="s">
        <v>595</v>
      </c>
    </row>
    <row r="295" spans="1:11" ht="58.05" hidden="1" customHeight="1">
      <c r="A295" s="9" t="s">
        <v>1531</v>
      </c>
      <c r="B295" s="9" t="s">
        <v>546</v>
      </c>
      <c r="C295" s="9" t="s">
        <v>476</v>
      </c>
      <c r="D295" s="9" t="s">
        <v>564</v>
      </c>
      <c r="E295" s="7" t="s">
        <v>1532</v>
      </c>
      <c r="F295" s="7" t="s">
        <v>1533</v>
      </c>
      <c r="G295" s="9" t="s">
        <v>39</v>
      </c>
      <c r="H295" s="9" t="s">
        <v>17</v>
      </c>
      <c r="I295" s="9" t="s">
        <v>88</v>
      </c>
      <c r="J295" s="10"/>
      <c r="K295" s="7" t="s">
        <v>480</v>
      </c>
    </row>
    <row r="296" spans="1:11" ht="58.05" hidden="1" customHeight="1">
      <c r="A296" s="9" t="s">
        <v>1534</v>
      </c>
      <c r="B296" s="9" t="s">
        <v>546</v>
      </c>
      <c r="C296" s="9" t="s">
        <v>476</v>
      </c>
      <c r="D296" s="9" t="s">
        <v>568</v>
      </c>
      <c r="E296" s="7" t="s">
        <v>1535</v>
      </c>
      <c r="F296" s="7" t="s">
        <v>1536</v>
      </c>
      <c r="G296" s="9" t="s">
        <v>39</v>
      </c>
      <c r="H296" s="9" t="s">
        <v>17</v>
      </c>
      <c r="I296" s="9" t="s">
        <v>199</v>
      </c>
      <c r="J296" s="10" t="s">
        <v>1531</v>
      </c>
      <c r="K296" s="7" t="s">
        <v>595</v>
      </c>
    </row>
    <row r="297" spans="1:11" ht="58.05" hidden="1" customHeight="1">
      <c r="A297" s="9" t="s">
        <v>1537</v>
      </c>
      <c r="B297" s="9" t="s">
        <v>546</v>
      </c>
      <c r="C297" s="9" t="s">
        <v>476</v>
      </c>
      <c r="D297" s="9" t="s">
        <v>572</v>
      </c>
      <c r="E297" s="7" t="s">
        <v>1538</v>
      </c>
      <c r="F297" s="7" t="s">
        <v>1539</v>
      </c>
      <c r="G297" s="9" t="s">
        <v>39</v>
      </c>
      <c r="H297" s="9" t="s">
        <v>17</v>
      </c>
      <c r="I297" s="9" t="s">
        <v>199</v>
      </c>
      <c r="J297" s="10" t="s">
        <v>1534</v>
      </c>
      <c r="K297" s="7" t="s">
        <v>575</v>
      </c>
    </row>
    <row r="298" spans="1:11" ht="58.05" hidden="1" customHeight="1">
      <c r="A298" s="9" t="s">
        <v>1540</v>
      </c>
      <c r="B298" s="9" t="s">
        <v>546</v>
      </c>
      <c r="C298" s="9" t="s">
        <v>476</v>
      </c>
      <c r="D298" s="9" t="s">
        <v>577</v>
      </c>
      <c r="E298" s="7" t="s">
        <v>1541</v>
      </c>
      <c r="F298" s="7" t="s">
        <v>1542</v>
      </c>
      <c r="G298" s="9" t="s">
        <v>39</v>
      </c>
      <c r="H298" s="9" t="s">
        <v>17</v>
      </c>
      <c r="I298" s="9" t="s">
        <v>199</v>
      </c>
      <c r="J298" s="10" t="s">
        <v>1543</v>
      </c>
      <c r="K298" s="7" t="s">
        <v>595</v>
      </c>
    </row>
  </sheetData>
  <conditionalFormatting sqref="I2:I298">
    <cfRule type="containsText" dxfId="3" priority="1" operator="containsText" text="Done"/>
    <cfRule type="containsText" dxfId="2" priority="2" operator="containsText" text="In Progress"/>
    <cfRule type="containsText" dxfId="1" priority="3" operator="containsText" text="Blocked"/>
    <cfRule type="containsText" dxfId="0" priority="4" operator="containsText" text="Not Started"/>
  </conditionalFormatting>
  <dataValidations count="3">
    <dataValidation type="list" sqref="D2:D298" xr:uid="{00000000-0002-0000-0300-000000000000}">
      <formula1>"Database,Backend/API,Frontend,Testing,Infrastructure,API Integration,Background Processing,Observability,Operations,DevOps"</formula1>
    </dataValidation>
    <dataValidation type="list" sqref="H2:H298" xr:uid="{00000000-0002-0000-0300-000001000000}">
      <formula1>"Must Have,Should Have,Could Have"</formula1>
    </dataValidation>
    <dataValidation type="list" sqref="I2:I298" xr:uid="{00000000-0002-0000-0300-000002000000}">
      <formula1>"Not Started,In Progress,Blocked,Done"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 Stories</vt:lpstr>
      <vt:lpstr>Overview</vt:lpstr>
      <vt:lpstr>Epics</vt:lpstr>
      <vt:lpstr>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Haneen MAHMOUD</cp:lastModifiedBy>
  <dcterms:modified xsi:type="dcterms:W3CDTF">2026-10-27T14:53:37Z</dcterms:modified>
</cp:coreProperties>
</file>